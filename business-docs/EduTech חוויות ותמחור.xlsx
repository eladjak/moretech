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bfecbc39cccbb04f/שולחן העבודה/"/>
    </mc:Choice>
  </mc:AlternateContent>
  <xr:revisionPtr revIDLastSave="0" documentId="8_{9F38ED25-BAC2-421B-8F37-8FEAC69EE6CE}" xr6:coauthVersionLast="47" xr6:coauthVersionMax="47" xr10:uidLastSave="{00000000-0000-0000-0000-000000000000}"/>
  <bookViews>
    <workbookView xWindow="-120" yWindow="-120" windowWidth="29040" windowHeight="15720" firstSheet="5" activeTab="11" xr2:uid="{00000000-000D-0000-FFFF-FFFF00000000}"/>
  </bookViews>
  <sheets>
    <sheet name="📚 תוכן עניינים" sheetId="1" r:id="rId1"/>
    <sheet name="🎤 הרצאות" sheetId="2" r:id="rId2"/>
    <sheet name="🤖 סדנאות AI" sheetId="3" r:id="rId3"/>
    <sheet name="🧒 סדנאות ילדים" sheetId="4" r:id="rId4"/>
    <sheet name="💻 סדנאות PRO" sheetId="5" r:id="rId5"/>
    <sheet name="📚 סדנאות EDU" sheetId="6" r:id="rId6"/>
    <sheet name="🎓 קורסים וסמינרים" sheetId="7" r:id="rId7"/>
    <sheet name="🌞 קייטנות טכנולוגיות" sheetId="8" r:id="rId8"/>
    <sheet name="🎉 הפעלות והפנינג" sheetId="9" r:id="rId9"/>
    <sheet name="📖 פיתוח מקצועי למורים" sheetId="10" r:id="rId10"/>
    <sheet name="💸 גורמי הוזלה" sheetId="11" r:id="rId11"/>
    <sheet name="🔺 גורמי ייקור" sheetId="12" r:id="rId12"/>
    <sheet name="🚗 מדיניות נסיעות" sheetId="13" r:id="rId13"/>
    <sheet name="👥 כמות משתתפים"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B13" i="1"/>
  <c r="B12" i="1"/>
  <c r="B11" i="1"/>
  <c r="B10" i="1"/>
  <c r="B9" i="1"/>
  <c r="B8" i="1"/>
  <c r="B7" i="1"/>
  <c r="B6" i="1"/>
  <c r="B5" i="1"/>
  <c r="B4" i="1"/>
  <c r="B3" i="1"/>
  <c r="B2" i="1"/>
</calcChain>
</file>

<file path=xl/sharedStrings.xml><?xml version="1.0" encoding="utf-8"?>
<sst xmlns="http://schemas.openxmlformats.org/spreadsheetml/2006/main" count="498" uniqueCount="272">
  <si>
    <t>שם הגיליון</t>
  </si>
  <si>
    <t>קישור</t>
  </si>
  <si>
    <t>🎤 הרצאות</t>
  </si>
  <si>
    <t>🤖 סדנאות AI</t>
  </si>
  <si>
    <t>🧒 סדנאות ילדים</t>
  </si>
  <si>
    <t>💻 סדנאות PRO</t>
  </si>
  <si>
    <t>📚 סדנאות EDU</t>
  </si>
  <si>
    <t>🎓 קורסים וסמינרים</t>
  </si>
  <si>
    <t>🌞 קייטנות טכנולוגיות</t>
  </si>
  <si>
    <t>🎉 הפעלות והפנינג</t>
  </si>
  <si>
    <t>📖 פיתוח מקצועי למורים</t>
  </si>
  <si>
    <t>💸 גורמי הוזלה</t>
  </si>
  <si>
    <t>🔺 גורמי ייקור</t>
  </si>
  <si>
    <t>🚗 מדיניות נסיעות</t>
  </si>
  <si>
    <t>👥 כמות משתתפים</t>
  </si>
  <si>
    <t>תיאור החוויה</t>
  </si>
  <si>
    <t>גורמי תמחור</t>
  </si>
  <si>
    <t>מחיר בסיס (₪)</t>
  </si>
  <si>
    <t>משך זמן</t>
  </si>
  <si>
    <t>כמות משתתפים</t>
  </si>
  <si>
    <t>גיל</t>
  </si>
  <si>
    <t>קהל יעד</t>
  </si>
  <si>
    <t>שם החוויה</t>
  </si>
  <si>
    <t>הרצאה מרתקת על מהפכת ה-AI והשפעתה הדרמטית על עולם החינוך. כוללת הדגמות חיות של כלי AI עדכניים, סקירה של מיומנויות העתיד הנדרשות, והדרכים שבהן הורים ומחנכים יכולים להכין את הילדים. כוללת Q&amp;A והכוונה מעשית.</t>
  </si>
  <si>
    <t>כמות משתתפים, מרחק</t>
  </si>
  <si>
    <t>2,500</t>
  </si>
  <si>
    <t>שעה וחצי</t>
  </si>
  <si>
    <t>20-200</t>
  </si>
  <si>
    <t>הורים, מורים, א'-ח'</t>
  </si>
  <si>
    <t>משולב</t>
  </si>
  <si>
    <t>הרצאה: מהפכת הבינה המלאכותית וההשפעה על החינוך</t>
  </si>
  <si>
    <t>סקירה מקיפה של טכנולוגיות פורצות דרך שישנו את פני החינוך: מציאות רבודה, מציאות וירטואלית, בינה מלאכותית, אנליטיקות למידה, ופרסונליזציה טכנולוגית. כולל הדגמות מעשיות, דוגמאות מהעולם, וכלים פרקטיים ליישום מיידי בבית הספר.</t>
  </si>
  <si>
    <t>3,000</t>
  </si>
  <si>
    <t>שעתיים</t>
  </si>
  <si>
    <t>20-100</t>
  </si>
  <si>
    <t>מורים, מנהלים</t>
  </si>
  <si>
    <t>הרצאה: טכנולוגיות העתיד בחינוך</t>
  </si>
  <si>
    <t>הרצאה חיונית על הסכנות ברשת, זיהוי מצבי סיכון, ואסטרטגיות מעשיות להתמודדות עם בריונות ברשת. מותאמת לגיל הקהל וכוללת סיפורי מקרה אמיתיים, כלים לתקשורת בריאה, והנחיות מעשיות לגלישה בטוחה, שמירה על פרטיות, והתנהגות מכבדת ברשת.</t>
  </si>
  <si>
    <t>2,200</t>
  </si>
  <si>
    <t>30-200</t>
  </si>
  <si>
    <t>הורים, תלמידים (ו'-ח')</t>
  </si>
  <si>
    <t>הרצאה: בטיחות ברשת ומניעת בריונות וירטואלית</t>
  </si>
  <si>
    <t>מבט מעמיק אל עולם הקריירה בהייטק ובטכנולוגיה: מגמות עדכניות, מקצועות העתיד, ומסלולי התפתחות. כוללת ניתוח של המיומנויות הנדרשות (טכניות ורכות), טיפים לבניית תיק עבודות, יצירת רשת קשרים, וכלים להשתלבות אפקטיבית בתעשייה. משלבת עדויות מהשטח וסיפורי הצלחה.</t>
  </si>
  <si>
    <t>2,800</t>
  </si>
  <si>
    <t>בני נוער, סטודנטים</t>
  </si>
  <si>
    <t>הרצאה: פיתוח קריירה בעולם הטכנולוגי</t>
  </si>
  <si>
    <t>הרצאה מעשית להורים המתמודדים עם אתגרי החינוך בעידן דיגיטלי. כוללת אסטרטגיות לאיזון בריא בין מסכים לפעילויות אחרות, כלים לתקשורת פתוחה על צריכת תוכן ומדיה חברתית, הנחיות גיל מותאמות לשימוש בטכנולוגיה, וטיפים להפיכת הטכנולוגיה לכלי חיובי בחיי המשפחה.</t>
  </si>
  <si>
    <t>20-150</t>
  </si>
  <si>
    <t>הורים</t>
  </si>
  <si>
    <t>הרצאה: איך לגדל ילדים בעידן הדיגיטלי</t>
  </si>
  <si>
    <t>סדנה מעשית לפיתוח אפליקציות מבוססות בינה מלאכותית. המשתתפים לומדים לשלב שירותי AI (זיהוי תמונה, עיבוד שפה טבעית, וחיזוי) ביישומים פשוטים. הסדנה כוללת הסבר על עקרונות בינה מלאכותית, התנסות ב-APIs של ספקי AI מובילים, ובניית אפליקציה מעשית מא' עד ת'. כל משתתף מסיים עם יישום עובד שפיתח בעצמו.</t>
  </si>
  <si>
    <t>כמות משתתפים, ציוד נדרש, מרחק</t>
  </si>
  <si>
    <t>3,800</t>
  </si>
  <si>
    <t>3 שעות</t>
  </si>
  <si>
    <t>15-30</t>
  </si>
  <si>
    <t>בני נוער (ט'-י"ב)</t>
  </si>
  <si>
    <t>סדנת פיתוח אפליקציות עם בינה מלאכותית</t>
  </si>
  <si>
    <t>סדנה חווייתית המאפשרת לתלמידים להתנסות ביצירה אמנותית באמצעות כלי בינה מלאכותית. המשתתפים לומדים להשתמש בכלים כמו DALL-E, Midjourney, וכלי יצירת מוזיקה מבוססי AI. הפעילות כוללת היכרות עם עקרונות הנחיית AI (prompting), התנסות ביצירת תוכן אישי, ודיון על השפעת הטכנולוגיה על תחומי היצירה. כל משתתף יוצא עם מספר יצירות שהפיק.</t>
  </si>
  <si>
    <t>3,200</t>
  </si>
  <si>
    <t>2.5 שעות</t>
  </si>
  <si>
    <t>15-25</t>
  </si>
  <si>
    <t>תלמידים (ה'-ח'), בני נוער</t>
  </si>
  <si>
    <t>סדנת יצירה עם כלי AI</t>
  </si>
  <si>
    <t>סדנה מקיפה לבניית צ'אטבוטים מתקדמים. המשתתפים לומדים לאפיין, לעצב ולבנות צ'אטבוט חכם למטרה ספציפית (חינוכי, עסקי, או אישי). התכנים כוללים עבודה עם מודלי שפה גדולים (LLMs), עיצוב "אישיות" לבוט, יצירת בסיס ידע, וחיבור למקורות מידע חיצוניים. בסוף הסדנה, כל משתתף מציג את הבוט שפיתח ומקבל גישה להמשך פיתוח עצמאי.</t>
  </si>
  <si>
    <t>4,500</t>
  </si>
  <si>
    <t>4 שעות</t>
  </si>
  <si>
    <t>בני נוער, מבוגרים</t>
  </si>
  <si>
    <t>סדנת פיתוח צ'אטבוטים חכמים</t>
  </si>
  <si>
    <t>סדנה יצירתית המתמקדת בכלי AI ליצירת תמונות ואנימציות. המשתתפים מתנסים בכלים מגוונים כמו מחוללי תמונות (Midjourney, DALL-E), כלי עריכה מבוססי AI, ופלטפורמות ליצירת אנימציות פשוטות. הפעילות כוללת תרגול כתיבת הנחיות מדויקות, עריכת התוצרים, ושילובם בפרויקטים שונים. בסוף הסדנה, המשתתפים יוצרים מיני-פרויקט אישי – סיפור מאויר, כרזה, או אנימציה קצרה.</t>
  </si>
  <si>
    <t>3,600</t>
  </si>
  <si>
    <t>תלמידים (ו'-י"ב)</t>
  </si>
  <si>
    <t>סדנת יצירת תמונות ואנימציות בעזרת AI</t>
  </si>
  <si>
    <t>סדנה מתקדמת המשלבת טכנולוגיות IoT (האינטרנט של הדברים) עם בינה מלאכותית. המשתתפים עובדים בקבוצות קטנות לפיתוח פרויקט חכם המשלב חיישנים, מעבדים זעירים (כגון Arduino או Raspberry Pi), וכלי AI לעיבוד הנתונים. הסדנה כוללת תכנון הפרויקט, בניית אב-טיפוס, חיבור לשירותי ענן, ויישום אלגוריתמים חכמים לניתוח המידע. הפרויקטים נעים מבית חכם זעיר, דרך תחנת מזג אוויר, ועד למערכות ניטור סביבתיות.</t>
  </si>
  <si>
    <t>5,500</t>
  </si>
  <si>
    <t>5 שעות</t>
  </si>
  <si>
    <t>10-25</t>
  </si>
  <si>
    <t>סדנת פיתוח פרויקטים מבוססי IoT ו-AI</t>
  </si>
  <si>
    <t>סדנה חווייתית המפגישה ילדים צעירים עם עולם הרובוטיקה באמצעות ערכות ידידותיות ואינטואיטיביות (כגון LEGO WeDo, Bee-Bot). הילדים לומדים עקרונות בסיסיים של תכנות, מנגנוני תנועה, וחשיבה לוגית תוך משחק והתנסות. הפעילות מובנית סביב אתגרים גילאיים מותאמים שמעודדים שיתוף פעולה, יצירתיות ופתרון בעיות. הילדים בונים, מתכנתים ומפעילים רובוטים פשוטים ולוקחים חלק במשימות מהנות.</t>
  </si>
  <si>
    <t>ילדי גן, תלמידים (א'-ד')</t>
  </si>
  <si>
    <t>סדנת רובוטיקה לילדים</t>
  </si>
  <si>
    <t>סדנה המציגה לילדים את עקרונות התכנות בצורה ויזואלית וידידותית. באמצעות פלטפורמות כמו Scratch או Code.org, הילדים לומדים מושגי יסוד בתכנות (לולאות, תנאים, משתנים) תוך יצירת משחקים ואנימציות פשוטות. הסדנה מדגישה חשיבה אלגוריתמית, פתרון בעיות ויצירתיות. כל ילד עובד על פרויקט אישי בקצב שלו, עם הנחייה צמודה, ובסיום לוקח הביתה את הקוד שיצר עם אפשרות להמשיך לפתח אותו.</t>
  </si>
  <si>
    <t>2,600</t>
  </si>
  <si>
    <t>תלמידים (א'-ה')</t>
  </si>
  <si>
    <t>סדנת קודינג ראשונה</t>
  </si>
  <si>
    <t>סדנה מרתקת בה תלמידים מתכננים ובונים משחק דיגיטלי משלהם. באמצעות כלים ידידותיים כמו Scratch, MakeCode Arcade או פלטפורמות דומות, התלמידים לומדים את תהליך פיתוח המשחק - מרעיון, דרך עיצוב שלבים, ועד יישום. הסדנה מכסה יסודות משחקיות (game mechanics), עיצוב גרפי בסיסי, ותכנות התנהגויות. הילדים עובדים בזוגות או לבד, ובסוף הסדנה מציגים את המשחק שלהם לקבוצה ומקבלים קישור להמשך פיתוח בבית.</t>
  </si>
  <si>
    <t>תלמידים (ג'-ו')</t>
  </si>
  <si>
    <t>סדנת בניית משחקים דיגיטליים</t>
  </si>
  <si>
    <t>סדנה המשלבת יצירה מסורתית עם טכנולוגיה חדשנית. הילדים משתמשים בחומרי יצירה (צבעים, נייר, חומרי מיחזור) יחד עם רכיבים אלקטרוניים פשוטים (נורות LED, מתגים, חיישנים בסיסיים) כדי ליצור פרויקטים מרהיבים ואינטראקטיביים. הסדנה מציגה מושגים טכנולוגיים בסיסיים דרך משחק ויצירה, כגון מעגלים חשמליים פשוטים, תכונות של חומרים שונים, ואור. הפרויקטים מותאמים לגיל ויכולים לכלול כרטיסי ברכה מוארים, בובות רוקדות, או יצירות אמנות אינטראקטיביות.</t>
  </si>
  <si>
    <t>15-20</t>
  </si>
  <si>
    <t>ילדי גן, תלמידים (א'-ג')</t>
  </si>
  <si>
    <t>סדנת יצירה וטכנולוגיה</t>
  </si>
  <si>
    <t>סדנה המנצלת את הפופולריות של מיינקראפט ככלי חינוכי. התלמידים משתמשים בגרסה החינוכית של המשחק (Minecraft: Education Edition) לביצוע משימות לימודיות הקשורות למתמטיקה, מדעים, או היסטוריה. הסדנה מתחילה עם הסבר על המשחק ואתגר קבוצתי (כגון בניית מבנה היסטורי, תכנון עיר חכמה, או סימולציה של מערכת אקולוגית). לאחר מכן, בקבוצות קטנות, התלמידים פותרים בעיות, מתכננים, ובונים תוך שימוש בכישורי שיתוף פעולה, חשיבה מרחבית, ויצירתיות. הסדנה מסתיימת בסיור וירטואלי בפרויקטים ודיון רפלקטיבי.</t>
  </si>
  <si>
    <t>תלמידים (ב'-ו')</t>
  </si>
  <si>
    <t>סדנת מיינקראפט חינוכי</t>
  </si>
  <si>
    <t>סדנה מעמיקה המתמקדת בטכנולוגיות פיתוח ווב מודרניות. המשתתפים לומדים לעבוד עם סטק טכנולוגי מתקדם הכולל React/Next.js, Node.js, ומסדי נתונים מודרניים. הסדנה משלבת הרצאות קצרות עם תרגול מעשי אינטנסיבי, וכוללת נושאים כמו ארכיטקטורת מיקרו-פרונטאנד, ביצועים, PWA, ו-server-side rendering. המשתתפים בונים אפליקציית ווב מלאה, החל מאפיון ועד לפריסה בענן. מתאימה למפתחי ווב בעלי ידע בסיסי המעוניינים לשדרג את יכולותיהם לרמה מקצועית.</t>
  </si>
  <si>
    <t>6,500</t>
  </si>
  <si>
    <t>6 שעות</t>
  </si>
  <si>
    <t>סטודנטים, מבוגרים</t>
  </si>
  <si>
    <t>סדנת פיתוח ווב מתקדם</t>
  </si>
  <si>
    <t>סדנה מקצועית אינטנסיבית המיועדת למפתחים המעוניינים לשלב בינה מלאכותית בפרויקטים. המשתתפים לומדים לעבוד עם מודלי LLM מובילים (OpenAI, Anthropic, ומודלים בקוד פתוח), API לעיבוד תמונה וקול, וכלי AI generative. הסדנה מכסה נושאים מתקדמים כמו Fine-tuning, Embeddings, Prompt engineering, וטכניקות אופטימיזציה. המשתתפים מפתחים אפליקציה מבוססת AI עם ממשק משתמש אינטואיטיבי, ניהול הקשר (context), ואינטגרציה עם מקורות מידע חיצוניים. הסדנה כוללת דיון בשיקולים אתיים ומסחריים.</t>
  </si>
  <si>
    <t>8,000</t>
  </si>
  <si>
    <t>8 שעות</t>
  </si>
  <si>
    <t>10-20</t>
  </si>
  <si>
    <t>מבוגרים (21-60)</t>
  </si>
  <si>
    <t>סדנת פיתוח תוכנה עם מודלי בינה מלאכותית</t>
  </si>
  <si>
    <t>סדנה מקיפה בנושא אבטחת מידע המשלבת תיאוריה עם תרגול מעשי בסביבה מבוקרת. המשתתפים לומדים על איומי סייבר עדכניים, שיטות תקיפה נפוצות (כגון XSS, SQL Injection, CSRF), ואסטרטגיות הגנה. הסדנה כוללת סימולציות תקיפה מעשיות, ניתוח קוד פגיע, וביצוע סריקות אבטחה. המשתתפים מתרגלים זיהוי נקודות תורפה, התמודדות עם פרצות אבטחה, והטמעת פתרונות אבטחה בפרויקטים שונים. הסדנה גם מתייחסת לנושאי תאימות לתקנים מקובלים (כגון GDPR, OWASP) ומנהגים מיטביים בתחום.</t>
  </si>
  <si>
    <t>7,200</t>
  </si>
  <si>
    <t>7 שעות</t>
  </si>
  <si>
    <t>סדנת אבטחת מידע והגנת סייבר</t>
  </si>
  <si>
    <t>סדנה מקיפה המלווה את המשתתפים בכל שלבי פיתוח מוצר טכנולוגי - מרעיון ראשוני ועד למוצר מוגמר. הסדנה מתחילה בתהליכי אפיון וחקר משתמשים, עוברת לעיצוב חווית משתמש ופיתוח אב-טיפוס, ומסתיימת בפיתוח, בדיקות ופריסה. המשתתפים עובדים בצוותים על פרויקט אמיתי, תוך שימוש במתודולוגיות אג'יליות ובכלים מקצועיים. מנטורים בעלי ניסיון בתעשייה מלווים את התהליך ומספקים משוב. בסיום הסדנה, כל צוות מציג את המוצר שפיתח ומקבל משוב מקיף והצעות להמשך פיתוח.</t>
  </si>
  <si>
    <t>8,500</t>
  </si>
  <si>
    <t>סדנת פיתוח מוצר טכנולוגי מא' עד ת'</t>
  </si>
  <si>
    <t>סדנה מעשית לניתוח נתונים באמצעות Python וספריות פופולריות כמו Pandas, NumPy, Matplotlib ו-Scikit-learn. המשתתפים לומדים את תהליך העבודה המלא עם נתונים: איסוף, ניקוי, עיבוד, ויזואליזציה, וניתוח. הסדנה מכסה טכניקות סטטיסטיות בסיסיות, מודלי חיזוי פשוטים, וכריית טקסט. המשתתפים עובדים על מאגרי נתונים אמיתיים ומגוונים, מפתחים שאלות מחקר, ומגיעים לתובנות ממשיות. הסדנה מתאימה לבעלי ידע בסיסי ב-Python המעוניינים להרחיב את יכולותיהם בתחום מדעי הנתונים. בסיום, המשתתפים מקבלים חומרי המשך לימוד עצמאי.</t>
  </si>
  <si>
    <t>6,800</t>
  </si>
  <si>
    <t>סדנת ניתוח נתונים עם Python</t>
  </si>
  <si>
    <t>סדנה פרקטית למורים המעוניינים לשלב כלי בינה מלאכותית בהוראה. המשתתפים מתנסים במגוון כלי AI ייעודיים לחינוך, כולל מחוללי תוכן, כלי הערכה אוטומטיים, וסביבות למידה מותאמות אישית. הסדנה מציגה דרכים יצירתיות לשילוב AI בשיעורים, יצירת חומרי למידה מותאמים, והתאמת ההוראה לסגנונות למידה שונים. בנוסף, המורים לומדים כיצד להדריך תלמידים בשימוש אחראי בכלי AI, ודנים בשאלות אתיות וחינוכיות. כל משתתף מפתח מערך שיעור משולב AI ומקבל משוב מהקבוצה.</t>
  </si>
  <si>
    <t>4,200</t>
  </si>
  <si>
    <t>מורים, יועצים</t>
  </si>
  <si>
    <t>סדנת שילוב כלי AI בהוראה</t>
  </si>
  <si>
    <t>סדנה אינטנסיבית ליצירת חומרי למידה דיגיטליים אינטראקטיביים ומעוררי השראה. המשתתפים לומדים לעבוד עם מגוון פלטפורמות וכלים פשוטים לשימוש (כגון Genially, H5P, Canva, ו-Wakelet) ליצירת מצגות אינטראקטיביות, אינפוגרפיקות, סרטונים חינוכיים, וחידונים דיגיטליים. הסדנה מתמקדת בעקרונות עיצוב למידה, יצירת תוכן מולטימדיה אפקטיבי, והתאמת חומרים לצרכים שונים. המשתתפים עובדים על פיתוח חומרי למידה דיגיטליים למקצועות שלהם, מקבלים משוב עמיתים, ויוצאים עם אוסף חומרים מוכנים לשימוש בכיתה.</t>
  </si>
  <si>
    <t>5,000</t>
  </si>
  <si>
    <t>מורים, מדריכים</t>
  </si>
  <si>
    <t>סדנת פיתוח חומרי למידה דיגיטליים</t>
  </si>
  <si>
    <t>סדנה מעמיקה המציגה גישות חדשניות להערכת תלמידים באמצעות טכנולוגיה. המשתתפים חוקרים אלטרנטיבות לבחינות מסורתיות כמו תיקי עבודות דיגיטליים, פרויקטים מבוססי טכנולוגיה, הערכת עמיתים דיגיטלית, ומשימות מבוססות ביצוע. הסדנה כוללת התנסות במגוון כלים להערכה (Flipgrid, Padlet, Formative, Google Forms מתקדם), יצירת רובריקות דיגיטליות, ואיסוף נתוני הערכה. המשתתפים מפתחים תכנית הערכה חלופית מלאה עבור יחידת לימוד או קורס, עם כלים להערכה מעצבת ומסכמת, והצעות למשוב אפקטיבי.</t>
  </si>
  <si>
    <t>סדנת הערכה חלופית בעזרת כלים טכנולוגיים</t>
  </si>
  <si>
    <t>סדנה מקיפה המכשירה מורים להוביל פרויקטים טכנולוגיים בבית הספר. המשתתפים לומדים מתודולוגיות לניהול פרויקטים חינוכיים, כלים לתכנון והערכה, ואסטרטגיות להנחיית תלמידים. הסדנה מכסה את כל שלבי הפרויקט: בחירת נושא, הגדרת מטרות, תכנון זמנים ומשאבים, ליווי התהליך, והצגת התוצרים. מודגשות מיומנויות המאה ה-21 כמו חשיבה ביקורתית, שיתוף פעולה, ויצירתיות. המשתתפים מתרגלים פתרון אתגרים אופייניים, מקבלים כלים למתן משוב אפקטיבי, ומפתחים רעיונות לפרויקטים ישימים בבית ספרם.</t>
  </si>
  <si>
    <t>5,800</t>
  </si>
  <si>
    <t>סדנת הנחיית פרויקטים טכנולוגיים בחינוך</t>
  </si>
  <si>
    <t>סדנה ייחודית המתמקדת בשימוש בטכנולוגיה ככלי להעצמה אישית ולימודית של תלמידים. המשתתפים (מורים, יועצים והורים) חוקרים כיצד טכנולוגיה יכולה לתמוך בלומדים מגוונים: תלמידים עם צרכים מיוחדים, מחוננים, או בעלי סגנונות למידה שונים. הסדנה מציגה כלים תומכי למידה עצמאית, פלטפורמות לפיתוח יצירתיות, יישומים לניהול זמן ומיקוד, ואפליקציות לפיתוח מיומנויות חברתיות-רגשיות. המשתתפים לומדים אסטרטגיות להדרכת תלמידים בניצול חיובי של טכנולוגיה, יצירת איזון בריא, ופיתוח מודעות דיגיטלית.</t>
  </si>
  <si>
    <t>מורים, יועצים, הורים</t>
  </si>
  <si>
    <t>סדנת העצמת תלמידים באמצעות טכנולוגיה</t>
  </si>
  <si>
    <t>קורס מקיף המלווה את המשתתפים בפיתוח אפליקציה מלאה משלהם. המשתתפים לומדים את יסודות פיתוח אפליקציות דרך פלטפורמות ידידותיות (כגון MIT App Inventor או React Native בסיסי), משלב התכנון, דרך העיצוב, ועד לפיתוח ופרסום. הקורס מכסה עקרונות בסיסיים בתכנות, עיצוב ממשק משתמש, ניהול נתונים, ואינטגרציה עם שירותי ענן פשוטים. בכל מפגש, המשתתפים מתקדמים בפיתוח האפליקציה האישית שלהם, בליווי מנטורים מקצועיים. בסיום הקורס, כל משתתף מציג אפליקציה עובדת שיכולה לשמש בתיק העבודות שלו, ומקבל תעודת סיום רשמית.</t>
  </si>
  <si>
    <t>כמות משתתפים, מרחק, תדירות מפגשים</t>
  </si>
  <si>
    <t>9,500</t>
  </si>
  <si>
    <t>10 מפגשים x 2 שעות</t>
  </si>
  <si>
    <t>בני נוער (ז'-י"ב)</t>
  </si>
  <si>
    <t>קורס פיתוח אפליקציות (10 מפגשים)</t>
  </si>
  <si>
    <t>קורס חווייתי המציג לתלמידים צעירים את עולם הבינה המלאכותית באופן ידידותי ונגיש. במהלך הקורס, התלמידים לומדים מושגי יסוד ב-AI (מהי למידת מכונה, כיצד עובדים אלגוריתמים בסיסיים), ומתנסים במגוון פעילויות מעשיות: אימון מודל זיהוי תמונות פשוט, יצירת בוט שיחה בסיסי, וניסויים ביצירה באמצעות AI. הקורס משלב למידה תיאורטית עם פעילויות מעשיות, משחקים וחידות AI, ודיונים על ההשלכות החברתיות והאתיות. כל מפגש בנוי סביב נושא מרכזי, עם פרויקט מיני שהתלמידים משלימים. בסיום הקורס, התלמידים מציגים פרויקט קבוצתי המשלב בינה מלאכותית.</t>
  </si>
  <si>
    <t>6 מפגשים x 1.5 שעות</t>
  </si>
  <si>
    <t>תלמידים (ה'-ח')</t>
  </si>
  <si>
    <t>קורס בינה מלאכותית למתחילים (6 מפגשים)</t>
  </si>
  <si>
    <t>קורס מרתק המציג לבני נוער את עולם הסייבר והאבטחה. המשתתפים לומדים על איומי סייבר נפוצים, טכניקות הגנה בסיסיות, והיבטים אתיים בתחום. הקורס משלב תיאוריה עם מעבדות מעשיות, סימולציות, ותרגילים בסביבה מבוקרת. הנושאים כוללים: אבטחת סיסמאות, הצפנה בסיסית, הנדסה חברתית, מניעת פישינג, ואבטחת רשתות בסיסית. המשתתפים מתנסים בזיהוי נקודות תורפה באתרים, יוצרים פרויקטי אבטחה פשוטים, ומשתתפים בתחרויות CTF (Capture The Flag) מותאמות לגילם. בסיום הקורס, המשתתפים מקבלים תעודה ויכולים להשתתף בהאקתון סייבר.</t>
  </si>
  <si>
    <t>8,200</t>
  </si>
  <si>
    <t>8 מפגשים x 2 שעות</t>
  </si>
  <si>
    <t>קורס סייבר והגנת מידע (8 מפגשים)</t>
  </si>
  <si>
    <t>סמינר אינטנסיבי המספק למורים טבילה מקיפה בעולם הטכנולוגיות החינוכיות החדשניות. הסמינר מתפרש על יומיים מלאים ומשלב הרצאות מומחים, סדנאות מעשיות, ולמידת עמיתים. היום הראשון מתמקד בכלים דיגיטליים למידה והערכה, פלטפורמות ללמידה מותאמת אישית, וטכנולוגיות להגברת מעורבות תלמידים. היום השני מוקדש לבינה מלאכותית בחינוך, מציאות רבודה ווירטואלית, ופדגוגיות חדשניות. המשתתפים עובדים בקבוצות קטנות על פיתוח חומרי למידה ותכניות הוראה משולבות טכנולוגיה. הסמינר כולל גם דיונים במליאה על אתגרים והזדמנויות, ושיתוף של סיפורי הצלחה מהשטח. המשתתפים מקבלים חוברת דיגיטלית עם כל החומרים והכלים, וגישה לקהילת למידה מקוונת להמשך שיתוף וצמיחה.</t>
  </si>
  <si>
    <t>כמות משתתפים, מרחק, לינה</t>
  </si>
  <si>
    <t>12,000</t>
  </si>
  <si>
    <t>יומיים (16 שעות)</t>
  </si>
  <si>
    <t>סמינר טכנולוגיות חינוכיות למורים (יומיים)</t>
  </si>
  <si>
    <t>קורס מקיף ומעמיק בפיתוח משחקים, המשלב תיאוריה של עיצוב משחקים עם פיתוח מעשי. המשתתפים לומדים את תהליך פיתוח המשחק המלא - מרעיון ראשוני, דרך עיצוב מכאניקות ושלבים, ועד להפקת משחק מלא. הקורס מתחיל במושגי יסוד בעיצוב משחקים (game design), ממשיך בלימוד סביבת פיתוח ידידותית (כגון Unity או GameMaker), ומתקדם לנושאים כמו גרפיקה ואנימציה, פיתוח דמויות, אפקטים קוליים, ובדיקת משחקים. בכל מפגש, המשתתפים בונים חלק מהמשחק האישי שלהם, עם ליווי והנחייה של מפתחי משחקים מקצועיים. הקורס כולל גם סיור או מפגש וירטואלי עם סטודיו משחקים. בסיום הקורס, כל משתתף מציג משחק מלא שפיתח ומקבל תעודת סיום.</t>
  </si>
  <si>
    <t>11,000</t>
  </si>
  <si>
    <t>12 מפגשים x 2 שעות</t>
  </si>
  <si>
    <t>תלמידים (ו'-י')</t>
  </si>
  <si>
    <t>קורס פיתוח משחקים (12 מפגשים)</t>
  </si>
  <si>
    <t>קייטנה חווייתית המשלבת רובוטיקה ותכנות בסיסי לילדים. במהלך שבוע מרתק, המשתתפים בונים ומתכנתים רובוטים באמצעות ערכות LEGO WeDo או LEGO Spike, ולומדים עקרונות בסיסיים בתכנות. כל יום מתחיל בפעילות קבוצתית מגבשת, ממשיך בלמידה והתנסות בנושא חדש, וכולל פרויקטים מיני יומיים. הילדים עובדים בזוגות או קבוצות קטנות, מתכננים, בונים ומתכנתים רובוטים למשימות שונות: מירוצים, משימות איסוף, או רובוטים אינטראקטיביים. הקייטנה כוללת גם פעילויות העשרה כמו סיפורי מדע בדיוני, פעילות יצירה, ומשחקי חשיבה. ביום האחרון, מתקיימת תערוכת הרובוטים שבנו המשתתפים, אליה מוזמנים ההורים. כל משתתף מקבל תעודת סיום וחולצת קייטנה.</t>
  </si>
  <si>
    <t>כמות משתתפים, מרחק, מספר מדריכים, הסעדה</t>
  </si>
  <si>
    <t>15,000</t>
  </si>
  <si>
    <t>5 ימים x 5 שעות</t>
  </si>
  <si>
    <t>קייטנת רובוטיקה ופיתוח (שבוע)</t>
  </si>
  <si>
    <t>קייטנה מעשירה החושפת ילדים למגוון טכנולוגיות עתידיות. במהלך הקייטנה, המשתתפים מתנסים בתחומים שונים: תכנות ופיתוח אפליקציות, בינה מלאכותית בסיסית, מציאות רבודה, הדפסת תלת-ממד, ואלקטרוניקה פשוטה. כל יום מוקדש לתחום אחר, עם פעילויות למידה מותאמות גיל, משימות מעשיות, ופרויקטים קבוצתיים. המשתתפים יוצרים אפליקציה פשוטה, מדפיסים מודלים תלת-ממדיים שעיצבו, ובונים פרויקט אלקטרוני בסיסי. הקייטנה כוללת גם מפגשים עם אנשי הייטק (פיזית או וירטואלית), פעילויות חברתיות, והרצאות קצרות על מקצועות העתיד. הקייטנה מסתיימת בהאקתון מיני בו המשתתפים מפתחים רעיונות לפתרונות טכנולוגיים לאתגרים יומיומיים.</t>
  </si>
  <si>
    <t>16,000</t>
  </si>
  <si>
    <t>קייטנת מפתחי העתיד (שבוע)</t>
  </si>
  <si>
    <t>קייטנה מאתגרת לבני נוער המתעניינים בעולם הסייבר ואבטחת מידע. במהלך הקייטנה, המשתתפים נחשפים לעולם הסייבר באופן מעשי והדרגתי: יסודות הרשת והאינטרנט, הצפנה ופענוח, זיהוי חולשות אבטחה, והגנה מפני איומים שונים. הפעילויות כוללות סדנאות לימוד טכניות, תרגילים מעשיים בסביבה מבוקרת, סימולציות של תרחישי תקיפה והגנה, ותחרויות CTF (Capture The Flag) מותאמות לרמת הידע. הקייטנה מדגישה אספקטים אתיים ומשפטיים, ומלמדת את המשתתפים להשתמש בידע באופן אחראי. מומחי סייבר מהתעשייה מגיעים להרצאות אורח וסיפורי קריירה. הקייטנה מסתיימת בתחרות האקתון סייבר קבוצתית, עם פרסים לקבוצות המצטיינות.</t>
  </si>
  <si>
    <t>18,000</t>
  </si>
  <si>
    <t>5 ימים x 6 שעות</t>
  </si>
  <si>
    <t>בני נוער (ז'-י')</t>
  </si>
  <si>
    <t>קייטנת סייבר לנוער (שבוע)</t>
  </si>
  <si>
    <t>מחנה קיץ אינטנסיבי המציע חוויה טכנולוגית מקיפה ומעמיקה לאורך שבועיים. המחנה משלב למידה מעמיקה בתחומים טכנולוגיים שונים עם פעילויות חברתיות ופנאי. בשבוע הראשון, המשתתפים עוברים "טעימות" במגוון תחומים: תכנות, רובוטיקה, בינה מלאכותית, מציאות רבודה, ותכנון משחקים. בשבוע השני, כל משתתף בוחר "התמחות" באחד התחומים ועובד על פרויקט מעמיק יותר בקבוצות קטנות. המחנה כולל סדנאות מקצועיות, הרצאות אורח של אנשי תעשייה, סיורים וירטואליים בחברות טכנולוגיה, ופעילויות בניית צוות. בערבים (אם המחנה עם לינה) או בשעות מיוחדות מתקיימות פעילויות העשרה וגיבוש: ערבי סרטי מדע בדיוני, משחקי חשיבה, ואולימפיאדת מדעים. המחנה מסתיים באירוע שיא של תערוכת פרויקטים בו המשתתפים מציגים את יצירותיהם בפני הורים ואורחים.</t>
  </si>
  <si>
    <t>35,000</t>
  </si>
  <si>
    <t>10 ימים x 6 שעות</t>
  </si>
  <si>
    <t>20-40</t>
  </si>
  <si>
    <t>תלמידים (ו'-ט')</t>
  </si>
  <si>
    <t>מחנה קיץ טכנולוגי (שבועיים)</t>
  </si>
  <si>
    <t>קייטנה ייחודית המשלבת טכנולוגיה עם כישורי יזמות לבני נוער. המשתתפים עוברים את כל התהליך היזמי - מזיהוי בעיה, דרך פיתוח פתרון טכנולוגי, ועד להצגת מוצר או שירות. הקייטנה כוללת סדנאות בנושאים כמו זיהוי צרכי שוק, פיתוח מודל עסקי, עיצוב חשיבה (Design Thinking), ויסודות השיווק הדיגיטלי. המשתתפים עובדים בצוותים קטנים על פיתוח רעיון למיזם טכנולוגי, מגבשים אב-טיפוס (פרוטוטייפ) ראשוני, ומכינים מצגת משקיעים. במהלך השבוע, מתקיימים מפגשים עם יזמים צעירים ומנטורים מעולם ההייטק והיזמות, שמספקים משוב ורעיונות. ביום האחרון, מתקיים אירוע "Demo Day", בו הצוותים מציגים את המיזמים שלהם בפני פאנל שופטים מתעשיית ההייטק, ההורים ואורחים נוספים.</t>
  </si>
  <si>
    <t>19,000</t>
  </si>
  <si>
    <t>בני נוער (ח'-י"ב)</t>
  </si>
  <si>
    <t>קייטנת יזמות טכנולוגית (שבוע)</t>
  </si>
  <si>
    <t>יום שיא טכנולוגי חווייתי ומעשיר בבית הספר. האירוע כולל מגוון תחנות אינטראקטיביות המותאמות לגיל התלמידים: רובוטיקה פשוטה, תכנות בסיסי, יצירה בעזרת כלים דיגיטליים, מציאות רבודה, הדפסת תלת-ממד, ואלקטרוניקה יצירתית. התלמידים עוברים בתחנות בקבוצות קטנות בסבב מתוכנן, כאשר בכל תחנה הם מתנסים בפעילות קצרה ומהנה (כ-25-30 דקות). צוות מדריכים מקצועי מפעיל את התחנות ומספק הסברים מותאמי גיל. ניתן להתאים את התחנות לנושא שנתי או לתכנית הלימודים. האירוע כולל גם הפעלה מרכזית בסגנון "מופע מדעי" או תחרות טכנולוגית כיתתית. אפשרות לשלב "דוכן צילום" טכנולוגי ומזכרות דיגיטליות.</t>
  </si>
  <si>
    <t>כמות משתתפים, מרחק, מספר תחנות, ציוד</t>
  </si>
  <si>
    <t>7,500</t>
  </si>
  <si>
    <t>4-6 שעות</t>
  </si>
  <si>
    <t>50-200</t>
  </si>
  <si>
    <t>תלמידים (א'-ו')</t>
  </si>
  <si>
    <t>יום טכנולוגיה בבית הספר</t>
  </si>
  <si>
    <t>הפנינג טכנולוגי צבעוני ומהנה המשלב רובוטיקה ויצירה לילדים צעירים. האירוע כולל מספר תחנות הפעלה מותאמות לגיל הרך: "רובוטים קטנים" - היכרות עם רובוטים פשוטים וחינוכיים כמו Bee-Bot ו-Dash, "סיפור דיגיטלי" - יצירת סיפורים קצרים עם אנימציות פשוטות, "אמנות אלקטרונית" - שילוב רכיבים חשמליים פשוטים ביצירה, "תכנות ויזואלי ראשון" - תכנות בסיסי בעזרת בלוקים ויזואליים, ו"מבוך רובוטי" - ניווט רובוטים פשוטים במבוך. לכל תחנה מדריכים ייעודיים המסבירים ומסייעים. ההפנינג כולל גם מופע אינטראקטיבי קצר המציג "קסמי טכנולוגיה" בצורה מעוררת השראה ומשעשעת. כל משתתף מקבל "דרכון דיגיטלי" לאיסוף חותמות מהתחנות, ותעודת "חוקר טכנולוגיה צעיר".</t>
  </si>
  <si>
    <t>3-4 שעות</t>
  </si>
  <si>
    <t>30-100</t>
  </si>
  <si>
    <t>הפנינג רובוטיקה ויצירה</t>
  </si>
  <si>
    <t>אירוע תחרותי ומעצים לבני נוער המשלב פיתוח טכנולוגי עם פתרון אתגרים חברתיים. ההאקתון מתחיל בהצגת האתגר או הנושא (לדוגמה: פתרונות למען הקהילה, טכנולוגיה וסביבה, או שיפור חיי בית הספר). לאחר מכן, בהנחיית מנטורים מקצועיים, המשתתפים מתחלקים לצוותים, מגבשים רעיונות, ועובדים על פיתוח אב-טיפוס או הדגמה של הפתרון שלהם. האירוע כולל סדנאות בזק (mini-workshops) בנושאים רלוונטיים: תכנות מהיר, עיצוב ממשק, פרזנטציה אפקטיבית, ומשוב עמיתים. לאורך היום, המנטורים עוברים בין הקבוצות ומסייעים בהתקדמות. בסיום היום, כל צוות מציג את הפתרון שלו בפני פאנל שופטים וקהל. הפרויקטים נשפטים על בסיס יצירתיות, ישימות טכנית, פוטנציאל השפעה, ואיכות ההצגה. צוותים מצטיינים זוכים בפרסים ואפשרות להמשך פיתוח הרעיון.</t>
  </si>
  <si>
    <t>כמות משתתפים, מרחק, ציוד, הסעדה</t>
  </si>
  <si>
    <t>8-10 שעות</t>
  </si>
  <si>
    <t>30-80</t>
  </si>
  <si>
    <t>האקתון נוער (אירוע יום שלם)</t>
  </si>
  <si>
    <t>אירוע קהילתי גדול המציג מגוון רחב של טכנולוגיות ויישומים מדעיים בצורה אינטראקטיבית ומעוררת השראה. היריד מחולק לאזורים תמטיים, כגון "עולם העתיד", "טכנולוגיה בחיי היומיום", "רובוטיקה וחלל", "בינה מלאכותית ומדעי הנתונים" ו"אנרגיה וסביבה". בכל אזור מספר תחנות הפעלה והדגמה המנוהלות על ידי מדריכים מקצועיים. המבקרים יכולים להתנסות בפעילויות כמו תכנות רובוטים, ניסויים במציאות רבודה, הדפסת תלת-ממד, תצוגות אינטראקטיביות של טכנולוגיות חדשניות, ולצפות בהדגמות מרהיבות של ניסויים מדעיים. היריד כולל גם מתחם הרצאות קצרות (TED-style), תערוכת פרויקטים של תלמידים, ומופע מרכזי המשלב מדע, טכנולוגיה ובידור. האירוע פתוח לכל הגילאים, עם פעילויות מותאמות לילדים צעירים, בני נוער ומבוגרים. דוכני מזון וישיבה זמינים לאורך האירוע.</t>
  </si>
  <si>
    <t>5-8 שעות</t>
  </si>
  <si>
    <t>100-500</t>
  </si>
  <si>
    <t>תלמידים, הורים</t>
  </si>
  <si>
    <t>יריד מדע וטכנולוגיה</t>
  </si>
  <si>
    <t>אירוע חווייתי המציג לבני נוער ולהוריהם את האפשרויות המגוונות בעולם ההייטק והקריירות הטכנולוגיות. האירוע פותח בהרצאה מעוררת השראה על עולם ההייטק העכשווי, מגמות עתידיות, ומסלולי קריירה אפשריים. לאחר מכן, המשתתפים עוברים בין מתחמים המציגים תחומים שונים בהייטק: פיתוח תוכנה, עיצוב מוצר, מדעי הנתונים, סייבר, בינה מלאכותית, ועוד. בכל מתחם, אנשי מקצוע מהתעשייה (בשילוב הצוות שלנו) מציגים פרויקטים אמיתיים, מספרים על עבודתם, ומציעים התנסות אינטראקטיבית. האירוע כולל גם פאנל מקצועי עם נציגים מחברות טכנולוגיה שונות, "דוכני ייעוץ" על לימודים והכשרות, ומתחם "Speed Mentoring" - מפגשים קצרים אישיים עם אנשי מקצוע. בסיום האירוע מתקיימת תחרות או שאלון טכנולוגי אינטראקטיבי עם פרסים. המשתתפים מקבלים חוברת מידע דיגיטלית עם משאבים להמשך למידה והתפתחות.</t>
  </si>
  <si>
    <t>כמות משתתפים, מרחק, מספר מדריכים, ציוד</t>
  </si>
  <si>
    <t>9,000</t>
  </si>
  <si>
    <t>4-5 שעות</t>
  </si>
  <si>
    <t>בני נוער, הורים</t>
  </si>
  <si>
    <t>אירוע חשיפה לעולם ההייטק</t>
  </si>
  <si>
    <t>השתלמות מקיפה המלווה מורים בשילוב משמעותי של טכנולוגיה בהוראה. הקורס מתקיים לאורך 10 מפגשים (3 שעות כל אחד) ומשלב למידה תיאורטית עם התנסות מעשית אינטנסיבית. הנושאים כוללים: יסודות הפדגוגיה הדיגיטלית, תכנון שיעורים משולבי טכנולוגיה, כלים דיגיטליים לאינטראקציה והערכה, למידה מבוססת פרויקטים, משחוק (Gamification), למידה שיתופית, ויצירת תוכן דיגיטלי. בכל מפגש, המשתתפים מתנסים בכלים ופלטפורמות שונות, ומקבלים משימות יישום בכיתותיהם. ההשתלמות כוללת ליווי אישי וקהילתי, צפייה בשיעורים ומשוב, ופיתוח פורטפוליו דיגיטלי. המשתתפים יוצאים עם מאגר שיעורים דיגיטליים מוכנים, מערכת יחסים עם קהילת עמיתים לומדת, ורעיונות קונקרטיים ליישום מיידי. ההשתלמות מוכרת לגמול השתלמות ומותאמת למדיניות משרד החינוך העדכנית.</t>
  </si>
  <si>
    <t>כמות משתתפים, מרחק, תדירות</t>
  </si>
  <si>
    <t>30 שעות (10 מפגשים)</t>
  </si>
  <si>
    <t>מורים</t>
  </si>
  <si>
    <t>השתלמות מורים: שילוב טכנולוגיה בהוראה</t>
  </si>
  <si>
    <t>תכנית הכשרה מתקדמת ומקיפה המיועדת למורים המתמנים או מיועדים לתפקיד רכז תקשוב בית ספרי. התכנית משתרעת על פני 15 מפגשים (4 שעות כל אחד) ומכסה את כל ההיבטים של תפקיד רכז התקשוב: הובלת חזון טכנולוגי בית ספרי, ניהול תשתיות ומערכות מידע בית ספריות, הדרכת צוות המורים, פיתוח תכנית תקשוב בית ספרית, והובלת יוזמות חדשנות. הנושאים כוללים: ניהול פלטפורמות למידה מוסדיות, כלי ניהול ידע ותוכן דיגיטלי, אבטחת מידע בסיסית, תמיכה טכנית ראשונית, ניהול משאבים דיגיטליים, ליווי מורים בשילוב טכנולוגיה, וקידום אוריינות דיגיטלית בקרב תלמידים. המשתתפים מפתחים פרויקט מעשי לבית ספרם הכולל חזון, תכנית עבודה, ותוצרים קונקרטיים. התכנית כוללת גם מפגשים עם רכזי תקשוב מנוסים, ליווי אישי, וקהילת עמיתים לתמיכה מתמשכת.</t>
  </si>
  <si>
    <t>25,000</t>
  </si>
  <si>
    <t>60 שעות (15 מפגשים)</t>
  </si>
  <si>
    <t>מורים, רכזים</t>
  </si>
  <si>
    <t>הכשרת רכזי תקשוב</t>
  </si>
  <si>
    <t>סדנה ממוקדת המתמקדת בפיתוח אסטרטגיות לטיפוח לומדים עצמאיים בסביבה דיגיטלית. הסדנה מתפרשת על פני שני מפגשים (4 שעות כל אחד) ומשלבת תיאוריה חינוכית עדכנית עם כלים מעשיים ואסטרטגיות יישומיות. הנושאים כוללים: מאפייני הלומד העצמאי בעידן הדיגיטלי, כלים לפיתוח מיומנויות מטא-קוגניטיביות, ניהול זמן ומשימות, אסטרטגיות למידה מותאמות אישית, מתן משוב מקדם למידה, והעצמת מוטיבציה פנימית. המשתתפים מתנסים בכלים דיגיטליים התומכים בלמידה עצמאית, כגון: פלטפורמות לניהול למידה אישית, יומני למידה דיגיטליים, כלי ניהול משימות, ואפליקציות לתמיכה בהרגלי למידה. הסדנה כוללת גם דיון במקרי בוחן, ניתוח אתגרים וחסמים בפיתוח עצמאות הלומד, ותכנון התערבויות מותאמות. המשתתפים יוצאים עם ערכת כלים דיגיטלית לטיפוח לומדים עצמאיים ותכנית יישום מיידית לכיתתם.</t>
  </si>
  <si>
    <t>6,000</t>
  </si>
  <si>
    <t>8 שעות (2 מפגשים)</t>
  </si>
  <si>
    <t>סדנת פיתוח לומד עצמאי בעידן הדיגיטלי</t>
  </si>
  <si>
    <t>תכנית הכשרה עמוקה ומעצימה למורים ומנהלים המעוניינים להוביל תהליכי חדשנות וטרנספורמציה דיגיטלית בבית ספרם. התכנית מתפרשת על פני 10 מפגשים (4 שעות כל אחד) ומשלבת תכנים תיאורטיים עם פרקטיקה, יישום בשטח, ובניית קהילה. הנושאים כוללים: מודלים להטמעת חדשנות, עיצוב חשיבה (Design Thinking) בחינוך, הובלת שינוי והתמודדות עם התנגדויות, אקוסיסטם חינוכי חדשני, מודלים פדגוגיים פורצי דרך, בניית תרבות של ניסוי וטעייה, ויצירת רשתות שיתוף פעולה. כל משתתף מפתח ומיישם "פרויקט חדשנות" בבית ספרו, עם ליווי מתמשך לאורך התכנית. התכנית כוללת גם סיורים וירטואליים בבתי ספר חדשניים בארץ ובעולם, מפגשים עם מובילי חדשנות מוכרים, וחונכות אישית. בסיום התכנית, המשתתפים מציגים את פרויקט החדשנות שלהם, מקבלים משוב ותמיכה להמשך הטמעה, והופכים לחלק מקהילת מובילי חדשנות חינוכית לאומית.</t>
  </si>
  <si>
    <t>20,000</t>
  </si>
  <si>
    <t>40 שעות (10 מפגשים)</t>
  </si>
  <si>
    <t>הכשרת מובילי חדשנות בית ספרית</t>
  </si>
  <si>
    <t>סדנה מעשית ורלוונטית המתמקדת בשימוש בכלים דיגיטליים לניהול אפקטיבי של הכיתה ותהליכי ההוראה-למידה. הסדנה נפרשת על פני 4 מפגשים (4 שעות כל אחד) ומאורגנת לפי תחומי ניהול מרכזיים. הנושאים כוללים: ניהול תוכן ומשאבי למידה דיגיטליים, מערכות לניהול כיתה ומעקב התקדמות, כלים לאינטראקציה ומעורבות תלמידים, פלטפורמות להערכה ומשוב בזמן אמת, ניהול משימות ופרויקטים, ואוטומציה של משימות שגרתיות. בכל מפגש, המשתתפים מתנסים במספר כלים דיגיטליים ופלטפורמות, לומדים את היתרונות והמגבלות של כל אחד, ומתכננים את האינטגרציה בסביבת העבודה האישית שלהם. הסדנה שמה דגש על כלים נגישים, ידידותיים למשתמש, ובעלי ערך מוסף משמעותי לתהליך החינוכי. המשתתפים מפתחים "ארגז כלים דיגיטלי" אישי ותכנית יישום הדרגתית המותאמת לצרכיהם ולסגנון ההוראה שלהם. הסדנה כוללת ליווי מקוון נוסף לחודש לאחר סיום המפגשים, לתמיכה ביישום בשטח.</t>
  </si>
  <si>
    <t>16 שעות (4 מפגשים)</t>
  </si>
  <si>
    <t>סדנת כלים דיגיטליים לניהול כיתה</t>
  </si>
  <si>
    <t>תיאור ושיקולים</t>
  </si>
  <si>
    <t>שיעור ההנחה</t>
  </si>
  <si>
    <t>גורם הוזלה</t>
  </si>
  <si>
    <t>הנחה משמעותית הניתנת למוסדות או ארגונים המזמינים מספר פעילויות ברצף או כחבילה. ההנחה נועדה לעודד הזמנות מרובות ולאפשר המשכיות ועומק בתהליכי הלמידה. ניתן לשקול הנחה גבוהה יותר (עד 20%) עבור הזמנות של 10+ פעילויות, במיוחד כאשר מדובר בתכנית שנתית מקיפה. יתרון: יוצר מחויבות ארוכת טווח וזרם הכנסות יציב.</t>
  </si>
  <si>
    <t>10% (3+ פעילויות)&lt;br&gt;15% (5+ פעילויות)</t>
  </si>
  <si>
    <t>הזמנת סדרת פעילויות</t>
  </si>
  <si>
    <t>הנחה ייעודית למוסדות חינוך באזורי פריפריה גיאוגרפית וחברתית, המשקפת מחויבות לצמצום פערים דיגיטליים ולהנגשת חינוך טכנולוגי איכותי לכל האוכלוסייה. שיעור ההנחה המדויק יכול להיקבע לפי מדד הפריפריאליות של הלמ"ס, אשכול סוציו-אקונומי, או קריטריונים אחרים. ניתן לשלב עם מימון חלקי ממשרד החינוך או קרנות ייעודיות. יש לוודא שההנחה לא פוגעת באיכות השירות או בהיקפו.</t>
  </si>
  <si>
    <t>5-10%</t>
  </si>
  <si>
    <t>מוסדות חינוך בפריפריה</t>
  </si>
  <si>
    <t>הנחת נאמנות ללקוחות הממשיכים לעבוד עמנו לאורך זמן. ההנחה יכולה להינתן החל מההזמנה השנייה או השלישית, ולגדול עם הוותק. מעבר לערך הכספי, כדאי ללוות את ההנחה בערך מוסף כגון שעות ייעוץ נוספות, חומרי העשרה ייחודיים, או גישה לאירועים מיוחדים. הנחה זו מחזקת את הקשר ארוך הטווח עם בתי ספר וארגונים, ומפחיתה עלויות שיווק ורכישת לקוחות חדשים.</t>
  </si>
  <si>
    <t>לקוחות חוזרים</t>
  </si>
  <si>
    <t>הנחה המשקפת את היתרון לגודל בפעילויות עבור קבוצות גדולות. ההנחה גדלה ככל שהקבוצה גדולה יותר, עד לגבול המאפשר שמירה על איכות ההדרכה. בד בבד עם ההנחה, יש להתאים את מבנה הפעילות לקבוצה הגדולה (למשל, פיצול לקבוצות קטנות עם רוטציה בין תחנות, או תוספת מדריכים). ההנחה רלוונטית במיוחד לימי שיא בית ספריים, אירועי הפנינג, וקייטנות גדולות.</t>
  </si>
  <si>
    <t>5-15%</t>
  </si>
  <si>
    <t>פעילויות לקבוצות גדולות במיוחד</t>
  </si>
  <si>
    <t>שיעור התוספת</t>
  </si>
  <si>
    <t>גורם ייקור</t>
  </si>
  <si>
    <t>תוספת המשקפת את העלות והמאמץ הנוספים הכרוכים בעבודה בימים מיוחדים. הפעלת פעילויות בימי שישי, ערבי חג, או בחופשות חג דורשת גיוס מדריכים בתנאים מיוחדים ולעיתים בעלות גבוהה יותר. מומלץ להבהיר מראש את המדיניות ולשקף אותה בהצעות המחיר. ניתן לשקול הפחתה מסוימת בתוספת עבור לקוחות קבועים או הזמנות גדולות במיוחד. חשוב לוודא שהתוספת מכסה את העלויות האמיתיות ומשאירה מרווח רווח הולם.</t>
  </si>
  <si>
    <t>תוספת 25%</t>
  </si>
  <si>
    <t>פעילות בימי חג או שישי</t>
  </si>
  <si>
    <t>תוספת עבור פעילויות המתקיימות בשעות הערב, המחייבות שעות עבודה לא שגרתיות של הצוות. פעילויות ערב מיועדות בדרך כלל להורים, מבוגרים, או אירועים קהילתיים, ולעיתים דורשות התארגנות לוגיסטית מיוחדת והסעות בשעות לא שגרתיות. ניתן לשקול חבילות מיוחדות לסדרות של פעילויות ערב, כגון קורסי הורים-ילדים או סדנאות למבוגרים. יש להקפיד על הפסקות ותנאים נאותים למדריכים העובדים בשעות אלה.</t>
  </si>
  <si>
    <t>תוספת 15%</t>
  </si>
  <si>
    <t>פעילות בשעות הערב (אחרי 18:00)</t>
  </si>
  <si>
    <t>תוספת המשתנה בהתאם לעלות ולאופי הציוד הנדרש לפעילות. פעילויות הדורשות ציוד טכנולוגי מתקדם (כגון ערכות רובוטיקה יקרות, מדפסות תלת-ממד, ציוד VR/AR, או קיטים אלקטרוניים) יחויבו בתוספת המשקפת את עלות הציוד, פחת, ביטוח, וטיפול. מומלץ להציג את פירוט עלויות הציוד בשקיפות ולהציע חלופות בדרגות מחיר שונות כאשר אפשרי. עבור פעילויות חוזרות, ניתן להציע חבילת ציוד שנשארת במוסד החינוכי לשימוש מתמשך.</t>
  </si>
  <si>
    <t>תוספת לפי עלות הציוד</t>
  </si>
  <si>
    <t>ציוד מיוחד/יקר</t>
  </si>
  <si>
    <t>תוספת עבור פיתוח והתאמה מיוחדים של תכני הפעילות לצרכים ספציפיים של הלקוח. התאמות עשויות לכלול: שילוב תכנים ייחודיים למוסד החינוכי, התאמה לתכנית לימודים ספציפית, התאמה לצרכים מיוחדים, פיתוח חומרים בשפות נוספות, או שילוב תכנים מקצועיים ייחודיים. שיעור התוספת ייקבע בהתאם למורכבות ההתאמה והמשאבים הנדרשים לפיתוחה. מומלץ להגדיר מראש את גבולות ההתאמה ולספק הצעת מחיר מפורטת. עבור התאמות משמעותיות, יש לשקול גביית מקדמה לכיסוי עלויות הפיתוח הראשוניות.</t>
  </si>
  <si>
    <t>תוספת 10-20%</t>
  </si>
  <si>
    <t>התאמות מיוחדות לתוכן</t>
  </si>
  <si>
    <t>תוספת המשקפת את העלויות והמורכבות הלוגיסטית של ניהול צוות מדריכים גדול. אירועים גדולים, ימי שיא, או קייטנות לקבוצות גדולות דורשים ניהול, הכשרה, ותיאום של צוות מורחב, וכן ניהול לוגיסטי מורכב יותר. התוספת מכסה עלויות כגון רכז צוות, מדריך ראשי, תדריכים מקדימים, ותקשורת פנים-צוותית. מומלץ לשקף את מבנה הצוות בהצעת המחיר (מספר מדריכים, תפקידים, יחס מדריכים-משתתפים) ולהתאים את המבנה לאופי הפעילות.</t>
  </si>
  <si>
    <t>תוספת לפי מספר המדריכים</t>
  </si>
  <si>
    <t>הובלת צוות מדריכים גדול</t>
  </si>
  <si>
    <t>תמחור</t>
  </si>
  <si>
    <t>קריטריון</t>
  </si>
  <si>
    <t>מדיניות החזר הוצאות נסיעה למיקומים מרוחקים. הנסיעות מחושבות לפי המרחק ממשרדי החברה או ממקום המגורים העיקרי של המדריכים, כאשר 50 הק"מ הראשונים אינם מחויבים. התעריף מכסה דלק, בלאי רכב, אגרות כביש, וזמן נסיעה. עבור פעילויות מרובות משתתפים הדורשות הובלת ציוד רב, ניתן לשקול תוספת לכיסוי עלויות רכב גדול יותר או הובלה נפרדת של ציוד. מומלץ לציין מראש את הערכת עלויות הנסיעה בהצעת המחיר ולאפשר אופציה לארגון מרוכז של הסעות במקרה של סדרת פעילויות.</t>
  </si>
  <si>
    <t>1.5 ₪ לק"מ (מעל 50 ק"מ)</t>
  </si>
  <si>
    <t>תשלום עבור נסיעות</t>
  </si>
  <si>
    <t>תוספת מיוחדת לפעילויות באזורים מרוחקים במיוחד, כגון אילת, רמת הגולן, או יישובים מבודדים בפריפריה. התוספת משקפת לא רק את המרחק הגיאוגרפי, אלא גם את הזמן הנוסף הנדרש, לינה אפשרית, אתגרים לוגיסטיים, ועלויות הובלת ציוד. שיעור התוספת תלוי במיקום המדויק, אורך הפעילות, מספר המדריכים, וכמות הציוד. עבור פעילויות ארוכות טווח באזורים מרוחקים, מומלץ לשקול חבילה מותאמת הכוללת לינה ואש"ל. ניתן להציע הנחה על התוספת ללקוחות המזמינים סדרת פעילויות מרוכזת.</t>
  </si>
  <si>
    <t>תוספת 500-1,000 ₪</t>
  </si>
  <si>
    <t>אזורים מרוחקים</t>
  </si>
  <si>
    <t>השפעה על המחיר</t>
  </si>
  <si>
    <t>מדיניות המבטיחה שמירה על איכות החוויה ובטיחות המשתתפים גם בקבוצות גדולות. כאשר מספר המשתתפים חורג מהמקסימום המומלץ, נדרשת תוספת מדריכים בהתאם ליחס הנדרש לפעילות הספציפית (למשל, מדריך נוסף לכל 10-15 משתתפים נוספים). תוספת המדריכים מחויבת בתשלום נוסף, המחושב לפי עלות מדריך, משך הפעילות, ואופייה. חשוב לציין כי גם עם תוספת מדריכים, יתכנו פעילויות בהן יש מגבלה אבסולוטית על מספר המשתתפים בשל אילוצי מרחב, ציוד, או אופי הפעילות. מומלץ לקיים בירור מקדים מפורט עם הלקוח לגבי מספר המשתתפים המדויק ולתכנן את מערך ההדרכה בהתאם.</t>
  </si>
  <si>
    <t>תוספת מדריכים בתשלום</t>
  </si>
  <si>
    <t>חריגה מהמקסימום המומלץ</t>
  </si>
  <si>
    <t>התייחסות לתמחור מיוחד לקבוצות קטנות מהמינימום המומלץ. בקבוצות קטנות במיוחד, העלות הקבועה של הפעילות (הכנה, ציוד, נסיעות, זמן מדריך) מתחלקת בין פחות משתתפים, מה שעשוי להוביל למחיר גבוה יותר פר משתתף. במקרים כאלה, ניתן להציע מספר אפשרויות: (1) תשלום מחיר בסיס מינימלי השווה לעלות של קבוצה בגודל המינימלי המומלץ, (2) התאמת היקף ומשך הפעילות לקבוצה הקטנה, או (3) שילוב הקבוצה הקטנה עם קבוצה נוספת במועד קרוב. מומלץ לשקף ללקוח את השיקולים ולהציע פתרונות יצירתיים שיאפשרו פעילות איכותית במחיר הוגן.</t>
  </si>
  <si>
    <t>מחיר גבוה יותר פר משתתף</t>
  </si>
  <si>
    <t>קבוצות קטנות במיוחד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</si>
</sst>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rgb="FFFFFFFF"/>
      <name val="Arial"/>
    </font>
  </fonts>
  <fills count="5">
    <fill>
      <patternFill patternType="none"/>
    </fill>
    <fill>
      <patternFill patternType="gray125"/>
    </fill>
    <fill>
      <patternFill patternType="solid">
        <fgColor rgb="FF4472C4"/>
      </patternFill>
    </fill>
    <fill>
      <patternFill patternType="solid">
        <fgColor rgb="FFD9E1F2"/>
      </patternFill>
    </fill>
    <fill>
      <patternFill patternType="solid">
        <fgColor rgb="FFFFFFFF"/>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horizontal="center"/>
    </xf>
    <xf numFmtId="0" fontId="2" fillId="2" borderId="0" xfId="0" applyFont="1"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rightToLeft="1" workbookViewId="0"/>
  </sheetViews>
  <sheetFormatPr defaultRowHeight="14.25" x14ac:dyDescent="0.2"/>
  <cols>
    <col min="1" max="1" width="35" customWidth="1"/>
    <col min="2" max="2" width="20" customWidth="1"/>
  </cols>
  <sheetData>
    <row r="1" spans="1:2" ht="15" x14ac:dyDescent="0.25">
      <c r="A1" s="1" t="s">
        <v>0</v>
      </c>
      <c r="B1" s="1" t="s">
        <v>1</v>
      </c>
    </row>
    <row r="2" spans="1:2" x14ac:dyDescent="0.2">
      <c r="A2" t="s">
        <v>2</v>
      </c>
      <c r="B2" s="2" t="str">
        <f>HYPERLINK("#🎤 הרצאות!A1", "מעבר לגיליון")</f>
        <v>מעבר לגיליון</v>
      </c>
    </row>
    <row r="3" spans="1:2" x14ac:dyDescent="0.2">
      <c r="A3" t="s">
        <v>3</v>
      </c>
      <c r="B3" s="2" t="str">
        <f>HYPERLINK("#🤖 סדנאות AI!A1", "מעבר לגיליון")</f>
        <v>מעבר לגיליון</v>
      </c>
    </row>
    <row r="4" spans="1:2" x14ac:dyDescent="0.2">
      <c r="A4" t="s">
        <v>4</v>
      </c>
      <c r="B4" s="2" t="str">
        <f>HYPERLINK("#🧒 סדנאות ילדים!A1", "מעבר לגיליון")</f>
        <v>מעבר לגיליון</v>
      </c>
    </row>
    <row r="5" spans="1:2" x14ac:dyDescent="0.2">
      <c r="A5" t="s">
        <v>5</v>
      </c>
      <c r="B5" s="2" t="str">
        <f>HYPERLINK("#💻 סדנאות PRO!A1", "מעבר לגיליון")</f>
        <v>מעבר לגיליון</v>
      </c>
    </row>
    <row r="6" spans="1:2" x14ac:dyDescent="0.2">
      <c r="A6" t="s">
        <v>6</v>
      </c>
      <c r="B6" s="2" t="str">
        <f>HYPERLINK("#📚 סדנאות EDU!A1", "מעבר לגיליון")</f>
        <v>מעבר לגיליון</v>
      </c>
    </row>
    <row r="7" spans="1:2" x14ac:dyDescent="0.2">
      <c r="A7" t="s">
        <v>7</v>
      </c>
      <c r="B7" s="2" t="str">
        <f>HYPERLINK("#🎓 קורסים וסמינרים!A1", "מעבר לגיליון")</f>
        <v>מעבר לגיליון</v>
      </c>
    </row>
    <row r="8" spans="1:2" x14ac:dyDescent="0.2">
      <c r="A8" t="s">
        <v>8</v>
      </c>
      <c r="B8" s="2" t="str">
        <f>HYPERLINK("#🌞 קייטנות טכנולוגיות!A1", "מעבר לגיליון")</f>
        <v>מעבר לגיליון</v>
      </c>
    </row>
    <row r="9" spans="1:2" x14ac:dyDescent="0.2">
      <c r="A9" t="s">
        <v>9</v>
      </c>
      <c r="B9" s="2" t="str">
        <f>HYPERLINK("#🎉 הפעלות והפנינג!A1", "מעבר לגיליון")</f>
        <v>מעבר לגיליון</v>
      </c>
    </row>
    <row r="10" spans="1:2" x14ac:dyDescent="0.2">
      <c r="A10" t="s">
        <v>10</v>
      </c>
      <c r="B10" s="2" t="str">
        <f>HYPERLINK("#📖 פיתוח מקצועי למורים!A1", "מעבר לגיליון")</f>
        <v>מעבר לגיליון</v>
      </c>
    </row>
    <row r="11" spans="1:2" x14ac:dyDescent="0.2">
      <c r="A11" t="s">
        <v>11</v>
      </c>
      <c r="B11" s="2" t="str">
        <f>HYPERLINK("#💸 גורמי הוזלה!A1", "מעבר לגיליון")</f>
        <v>מעבר לגיליון</v>
      </c>
    </row>
    <row r="12" spans="1:2" x14ac:dyDescent="0.2">
      <c r="A12" t="s">
        <v>12</v>
      </c>
      <c r="B12" s="2" t="str">
        <f>HYPERLINK("#🔺 גורמי ייקור!A1", "מעבר לגיליון")</f>
        <v>מעבר לגיליון</v>
      </c>
    </row>
    <row r="13" spans="1:2" x14ac:dyDescent="0.2">
      <c r="A13" t="s">
        <v>13</v>
      </c>
      <c r="B13" s="2" t="str">
        <f>HYPERLINK("#🚗 מדיניות נסיעות!A1", "מעבר לגיליון")</f>
        <v>מעבר לגיליון</v>
      </c>
    </row>
    <row r="14" spans="1:2" x14ac:dyDescent="0.2">
      <c r="A14" t="s">
        <v>14</v>
      </c>
      <c r="B14" s="2" t="str">
        <f>HYPERLINK("#👥 כמות משתתפים!A1", "מעבר לגיליון")</f>
        <v>מעבר לגיליון</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rightToLeft="1" workbookViewId="0"/>
  </sheetViews>
  <sheetFormatPr defaultRowHeight="14.25" x14ac:dyDescent="0.2"/>
  <cols>
    <col min="1" max="1" width="50" customWidth="1"/>
    <col min="2" max="2" width="20" customWidth="1"/>
    <col min="3" max="3" width="15" customWidth="1"/>
    <col min="4" max="4" width="10" customWidth="1"/>
    <col min="5" max="5" width="14" customWidth="1"/>
    <col min="6" max="6" width="24" customWidth="1"/>
    <col min="7" max="7" width="9" customWidth="1"/>
    <col min="8" max="8" width="48" customWidth="1"/>
  </cols>
  <sheetData>
    <row r="1" spans="1:8" ht="15" x14ac:dyDescent="0.2">
      <c r="A1" s="3" t="s">
        <v>15</v>
      </c>
      <c r="B1" s="3" t="s">
        <v>16</v>
      </c>
      <c r="C1" s="3" t="s">
        <v>17</v>
      </c>
      <c r="D1" s="3" t="s">
        <v>18</v>
      </c>
      <c r="E1" s="3" t="s">
        <v>19</v>
      </c>
      <c r="F1" s="3" t="s">
        <v>20</v>
      </c>
      <c r="G1" s="3" t="s">
        <v>21</v>
      </c>
      <c r="H1" s="3" t="s">
        <v>22</v>
      </c>
    </row>
    <row r="2" spans="1:8" ht="57" x14ac:dyDescent="0.2">
      <c r="A2" s="4" t="s">
        <v>23</v>
      </c>
      <c r="B2" s="4" t="s">
        <v>24</v>
      </c>
      <c r="C2" s="4" t="s">
        <v>25</v>
      </c>
      <c r="D2" s="4" t="s">
        <v>26</v>
      </c>
      <c r="E2" s="4" t="s">
        <v>27</v>
      </c>
      <c r="F2" s="4" t="s">
        <v>28</v>
      </c>
      <c r="G2" s="4" t="s">
        <v>29</v>
      </c>
      <c r="H2" s="4" t="s">
        <v>30</v>
      </c>
    </row>
    <row r="3" spans="1:8" ht="57" x14ac:dyDescent="0.2">
      <c r="A3" s="5" t="s">
        <v>31</v>
      </c>
      <c r="B3" s="5" t="s">
        <v>24</v>
      </c>
      <c r="C3" s="5" t="s">
        <v>32</v>
      </c>
      <c r="D3" s="5" t="s">
        <v>33</v>
      </c>
      <c r="E3" s="5" t="s">
        <v>34</v>
      </c>
      <c r="F3" s="5" t="s">
        <v>35</v>
      </c>
      <c r="G3" s="5" t="s">
        <v>29</v>
      </c>
      <c r="H3" s="5" t="s">
        <v>36</v>
      </c>
    </row>
    <row r="4" spans="1:8" ht="71.25" x14ac:dyDescent="0.2">
      <c r="A4" s="4" t="s">
        <v>37</v>
      </c>
      <c r="B4" s="4" t="s">
        <v>24</v>
      </c>
      <c r="C4" s="4" t="s">
        <v>38</v>
      </c>
      <c r="D4" s="4" t="s">
        <v>26</v>
      </c>
      <c r="E4" s="4" t="s">
        <v>39</v>
      </c>
      <c r="F4" s="4" t="s">
        <v>40</v>
      </c>
      <c r="G4" s="4" t="s">
        <v>29</v>
      </c>
      <c r="H4" s="4" t="s">
        <v>41</v>
      </c>
    </row>
    <row r="5" spans="1:8" ht="71.25" x14ac:dyDescent="0.2">
      <c r="A5" s="5" t="s">
        <v>42</v>
      </c>
      <c r="B5" s="5" t="s">
        <v>24</v>
      </c>
      <c r="C5" s="5" t="s">
        <v>43</v>
      </c>
      <c r="D5" s="5" t="s">
        <v>33</v>
      </c>
      <c r="E5" s="5" t="s">
        <v>34</v>
      </c>
      <c r="F5" s="5" t="s">
        <v>44</v>
      </c>
      <c r="G5" s="5" t="s">
        <v>29</v>
      </c>
      <c r="H5" s="5" t="s">
        <v>45</v>
      </c>
    </row>
    <row r="6" spans="1:8" ht="71.25" x14ac:dyDescent="0.2">
      <c r="A6" s="4" t="s">
        <v>46</v>
      </c>
      <c r="B6" s="4" t="s">
        <v>24</v>
      </c>
      <c r="C6" s="4" t="s">
        <v>25</v>
      </c>
      <c r="D6" s="4" t="s">
        <v>33</v>
      </c>
      <c r="E6" s="4" t="s">
        <v>47</v>
      </c>
      <c r="F6" s="4" t="s">
        <v>48</v>
      </c>
      <c r="G6" s="4" t="s">
        <v>29</v>
      </c>
      <c r="H6" s="4" t="s">
        <v>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rightToLeft="1" workbookViewId="0"/>
  </sheetViews>
  <sheetFormatPr defaultRowHeight="14.25" x14ac:dyDescent="0.2"/>
  <cols>
    <col min="1" max="1" width="50" customWidth="1"/>
    <col min="2" max="2" width="31" customWidth="1"/>
    <col min="3" max="3" width="15" customWidth="1"/>
    <col min="4" max="4" width="10" customWidth="1"/>
    <col min="5" max="5" width="14" customWidth="1"/>
    <col min="6" max="6" width="27" customWidth="1"/>
    <col min="7" max="7" width="9" customWidth="1"/>
    <col min="8" max="8" width="39" customWidth="1"/>
  </cols>
  <sheetData>
    <row r="1" spans="1:8" ht="15" x14ac:dyDescent="0.2">
      <c r="A1" s="3" t="s">
        <v>15</v>
      </c>
      <c r="B1" s="3" t="s">
        <v>16</v>
      </c>
      <c r="C1" s="3" t="s">
        <v>17</v>
      </c>
      <c r="D1" s="3" t="s">
        <v>18</v>
      </c>
      <c r="E1" s="3" t="s">
        <v>19</v>
      </c>
      <c r="F1" s="3" t="s">
        <v>20</v>
      </c>
      <c r="G1" s="3" t="s">
        <v>21</v>
      </c>
      <c r="H1" s="3" t="s">
        <v>22</v>
      </c>
    </row>
    <row r="2" spans="1:8" ht="85.5" x14ac:dyDescent="0.2">
      <c r="A2" s="4" t="s">
        <v>50</v>
      </c>
      <c r="B2" s="4" t="s">
        <v>51</v>
      </c>
      <c r="C2" s="4" t="s">
        <v>52</v>
      </c>
      <c r="D2" s="4" t="s">
        <v>53</v>
      </c>
      <c r="E2" s="4" t="s">
        <v>54</v>
      </c>
      <c r="F2" s="4" t="s">
        <v>55</v>
      </c>
      <c r="G2" s="4" t="s">
        <v>29</v>
      </c>
      <c r="H2" s="4" t="s">
        <v>56</v>
      </c>
    </row>
    <row r="3" spans="1:8" ht="85.5" x14ac:dyDescent="0.2">
      <c r="A3" s="5" t="s">
        <v>57</v>
      </c>
      <c r="B3" s="5" t="s">
        <v>51</v>
      </c>
      <c r="C3" s="5" t="s">
        <v>58</v>
      </c>
      <c r="D3" s="5" t="s">
        <v>59</v>
      </c>
      <c r="E3" s="5" t="s">
        <v>60</v>
      </c>
      <c r="F3" s="5" t="s">
        <v>61</v>
      </c>
      <c r="G3" s="5" t="s">
        <v>29</v>
      </c>
      <c r="H3" s="5" t="s">
        <v>62</v>
      </c>
    </row>
    <row r="4" spans="1:8" ht="85.5" x14ac:dyDescent="0.2">
      <c r="A4" s="4" t="s">
        <v>63</v>
      </c>
      <c r="B4" s="4" t="s">
        <v>51</v>
      </c>
      <c r="C4" s="4" t="s">
        <v>64</v>
      </c>
      <c r="D4" s="4" t="s">
        <v>65</v>
      </c>
      <c r="E4" s="4" t="s">
        <v>60</v>
      </c>
      <c r="F4" s="4" t="s">
        <v>66</v>
      </c>
      <c r="G4" s="4" t="s">
        <v>29</v>
      </c>
      <c r="H4" s="4" t="s">
        <v>67</v>
      </c>
    </row>
    <row r="5" spans="1:8" ht="99.75" x14ac:dyDescent="0.2">
      <c r="A5" s="5" t="s">
        <v>68</v>
      </c>
      <c r="B5" s="5" t="s">
        <v>51</v>
      </c>
      <c r="C5" s="5" t="s">
        <v>69</v>
      </c>
      <c r="D5" s="5" t="s">
        <v>53</v>
      </c>
      <c r="E5" s="5" t="s">
        <v>54</v>
      </c>
      <c r="F5" s="5" t="s">
        <v>70</v>
      </c>
      <c r="G5" s="5" t="s">
        <v>29</v>
      </c>
      <c r="H5" s="5" t="s">
        <v>71</v>
      </c>
    </row>
    <row r="6" spans="1:8" ht="99.75" x14ac:dyDescent="0.2">
      <c r="A6" s="4" t="s">
        <v>72</v>
      </c>
      <c r="B6" s="4" t="s">
        <v>51</v>
      </c>
      <c r="C6" s="4" t="s">
        <v>73</v>
      </c>
      <c r="D6" s="4" t="s">
        <v>74</v>
      </c>
      <c r="E6" s="4" t="s">
        <v>75</v>
      </c>
      <c r="F6" s="4" t="s">
        <v>66</v>
      </c>
      <c r="G6" s="4" t="s">
        <v>29</v>
      </c>
      <c r="H6" s="4" t="s">
        <v>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rightToLeft="1" workbookViewId="0"/>
  </sheetViews>
  <sheetFormatPr defaultRowHeight="14.25" x14ac:dyDescent="0.2"/>
  <cols>
    <col min="1" max="1" width="50" customWidth="1"/>
    <col min="2" max="2" width="31" customWidth="1"/>
    <col min="3" max="3" width="15" customWidth="1"/>
    <col min="4" max="4" width="10" customWidth="1"/>
    <col min="5" max="5" width="14" customWidth="1"/>
    <col min="6" max="6" width="26" customWidth="1"/>
    <col min="7" max="7" width="9" customWidth="1"/>
    <col min="8" max="8" width="29" customWidth="1"/>
  </cols>
  <sheetData>
    <row r="1" spans="1:8" ht="15" x14ac:dyDescent="0.2">
      <c r="A1" s="3" t="s">
        <v>15</v>
      </c>
      <c r="B1" s="3" t="s">
        <v>16</v>
      </c>
      <c r="C1" s="3" t="s">
        <v>17</v>
      </c>
      <c r="D1" s="3" t="s">
        <v>18</v>
      </c>
      <c r="E1" s="3" t="s">
        <v>19</v>
      </c>
      <c r="F1" s="3" t="s">
        <v>20</v>
      </c>
      <c r="G1" s="3" t="s">
        <v>21</v>
      </c>
      <c r="H1" s="3" t="s">
        <v>22</v>
      </c>
    </row>
    <row r="2" spans="1:8" ht="99.75" x14ac:dyDescent="0.2">
      <c r="A2" s="4" t="s">
        <v>77</v>
      </c>
      <c r="B2" s="4" t="s">
        <v>51</v>
      </c>
      <c r="C2" s="4" t="s">
        <v>43</v>
      </c>
      <c r="D2" s="4" t="s">
        <v>33</v>
      </c>
      <c r="E2" s="4" t="s">
        <v>60</v>
      </c>
      <c r="F2" s="4" t="s">
        <v>78</v>
      </c>
      <c r="G2" s="4" t="s">
        <v>29</v>
      </c>
      <c r="H2" s="4" t="s">
        <v>79</v>
      </c>
    </row>
    <row r="3" spans="1:8" ht="99.75" x14ac:dyDescent="0.2">
      <c r="A3" s="5" t="s">
        <v>80</v>
      </c>
      <c r="B3" s="5" t="s">
        <v>51</v>
      </c>
      <c r="C3" s="5" t="s">
        <v>81</v>
      </c>
      <c r="D3" s="5" t="s">
        <v>33</v>
      </c>
      <c r="E3" s="5" t="s">
        <v>60</v>
      </c>
      <c r="F3" s="5" t="s">
        <v>82</v>
      </c>
      <c r="G3" s="5" t="s">
        <v>29</v>
      </c>
      <c r="H3" s="5" t="s">
        <v>83</v>
      </c>
    </row>
    <row r="4" spans="1:8" ht="99.75" x14ac:dyDescent="0.2">
      <c r="A4" s="4" t="s">
        <v>84</v>
      </c>
      <c r="B4" s="4" t="s">
        <v>51</v>
      </c>
      <c r="C4" s="4" t="s">
        <v>32</v>
      </c>
      <c r="D4" s="4" t="s">
        <v>59</v>
      </c>
      <c r="E4" s="4" t="s">
        <v>60</v>
      </c>
      <c r="F4" s="4" t="s">
        <v>85</v>
      </c>
      <c r="G4" s="4" t="s">
        <v>29</v>
      </c>
      <c r="H4" s="4" t="s">
        <v>86</v>
      </c>
    </row>
    <row r="5" spans="1:8" ht="114" x14ac:dyDescent="0.2">
      <c r="A5" s="5" t="s">
        <v>87</v>
      </c>
      <c r="B5" s="5" t="s">
        <v>51</v>
      </c>
      <c r="C5" s="5" t="s">
        <v>25</v>
      </c>
      <c r="D5" s="5" t="s">
        <v>33</v>
      </c>
      <c r="E5" s="5" t="s">
        <v>88</v>
      </c>
      <c r="F5" s="5" t="s">
        <v>89</v>
      </c>
      <c r="G5" s="5" t="s">
        <v>29</v>
      </c>
      <c r="H5" s="5" t="s">
        <v>90</v>
      </c>
    </row>
    <row r="6" spans="1:8" ht="128.25" x14ac:dyDescent="0.2">
      <c r="A6" s="4" t="s">
        <v>91</v>
      </c>
      <c r="B6" s="4" t="s">
        <v>51</v>
      </c>
      <c r="C6" s="4" t="s">
        <v>58</v>
      </c>
      <c r="D6" s="4" t="s">
        <v>59</v>
      </c>
      <c r="E6" s="4" t="s">
        <v>54</v>
      </c>
      <c r="F6" s="4" t="s">
        <v>92</v>
      </c>
      <c r="G6" s="4" t="s">
        <v>29</v>
      </c>
      <c r="H6" s="4" t="s">
        <v>93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rightToLeft="1" workbookViewId="0"/>
  </sheetViews>
  <sheetFormatPr defaultRowHeight="14.25" x14ac:dyDescent="0.2"/>
  <cols>
    <col min="1" max="1" width="50" customWidth="1"/>
    <col min="2" max="2" width="31" customWidth="1"/>
    <col min="3" max="3" width="15" customWidth="1"/>
    <col min="4" max="4" width="9" customWidth="1"/>
    <col min="5" max="5" width="14" customWidth="1"/>
    <col min="6" max="6" width="19" customWidth="1"/>
    <col min="7" max="7" width="9" customWidth="1"/>
    <col min="8" max="8" width="41" customWidth="1"/>
  </cols>
  <sheetData>
    <row r="1" spans="1:8" ht="15" x14ac:dyDescent="0.2">
      <c r="A1" s="3" t="s">
        <v>15</v>
      </c>
      <c r="B1" s="3" t="s">
        <v>16</v>
      </c>
      <c r="C1" s="3" t="s">
        <v>17</v>
      </c>
      <c r="D1" s="3" t="s">
        <v>18</v>
      </c>
      <c r="E1" s="3" t="s">
        <v>19</v>
      </c>
      <c r="F1" s="3" t="s">
        <v>20</v>
      </c>
      <c r="G1" s="3" t="s">
        <v>21</v>
      </c>
      <c r="H1" s="3" t="s">
        <v>22</v>
      </c>
    </row>
    <row r="2" spans="1:8" ht="114" x14ac:dyDescent="0.2">
      <c r="A2" s="4" t="s">
        <v>94</v>
      </c>
      <c r="B2" s="4" t="s">
        <v>51</v>
      </c>
      <c r="C2" s="4" t="s">
        <v>95</v>
      </c>
      <c r="D2" s="4" t="s">
        <v>96</v>
      </c>
      <c r="E2" s="4" t="s">
        <v>75</v>
      </c>
      <c r="F2" s="4" t="s">
        <v>97</v>
      </c>
      <c r="G2" s="4" t="s">
        <v>29</v>
      </c>
      <c r="H2" s="4" t="s">
        <v>98</v>
      </c>
    </row>
    <row r="3" spans="1:8" ht="128.25" x14ac:dyDescent="0.2">
      <c r="A3" s="5" t="s">
        <v>99</v>
      </c>
      <c r="B3" s="5" t="s">
        <v>51</v>
      </c>
      <c r="C3" s="5" t="s">
        <v>100</v>
      </c>
      <c r="D3" s="5" t="s">
        <v>101</v>
      </c>
      <c r="E3" s="5" t="s">
        <v>102</v>
      </c>
      <c r="F3" s="5" t="s">
        <v>103</v>
      </c>
      <c r="G3" s="5" t="s">
        <v>29</v>
      </c>
      <c r="H3" s="5" t="s">
        <v>104</v>
      </c>
    </row>
    <row r="4" spans="1:8" ht="128.25" x14ac:dyDescent="0.2">
      <c r="A4" s="4" t="s">
        <v>105</v>
      </c>
      <c r="B4" s="4" t="s">
        <v>51</v>
      </c>
      <c r="C4" s="4" t="s">
        <v>106</v>
      </c>
      <c r="D4" s="4" t="s">
        <v>107</v>
      </c>
      <c r="E4" s="4" t="s">
        <v>75</v>
      </c>
      <c r="F4" s="4" t="s">
        <v>97</v>
      </c>
      <c r="G4" s="4" t="s">
        <v>29</v>
      </c>
      <c r="H4" s="4" t="s">
        <v>108</v>
      </c>
    </row>
    <row r="5" spans="1:8" ht="114" x14ac:dyDescent="0.2">
      <c r="A5" s="5" t="s">
        <v>109</v>
      </c>
      <c r="B5" s="5" t="s">
        <v>51</v>
      </c>
      <c r="C5" s="5" t="s">
        <v>110</v>
      </c>
      <c r="D5" s="5" t="s">
        <v>101</v>
      </c>
      <c r="E5" s="5" t="s">
        <v>102</v>
      </c>
      <c r="F5" s="5" t="s">
        <v>103</v>
      </c>
      <c r="G5" s="5" t="s">
        <v>29</v>
      </c>
      <c r="H5" s="5" t="s">
        <v>111</v>
      </c>
    </row>
    <row r="6" spans="1:8" ht="128.25" x14ac:dyDescent="0.2">
      <c r="A6" s="4" t="s">
        <v>112</v>
      </c>
      <c r="B6" s="4" t="s">
        <v>51</v>
      </c>
      <c r="C6" s="4" t="s">
        <v>113</v>
      </c>
      <c r="D6" s="4" t="s">
        <v>96</v>
      </c>
      <c r="E6" s="4" t="s">
        <v>102</v>
      </c>
      <c r="F6" s="4" t="s">
        <v>97</v>
      </c>
      <c r="G6" s="4" t="s">
        <v>29</v>
      </c>
      <c r="H6" s="4" t="s">
        <v>114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
  <sheetViews>
    <sheetView rightToLeft="1" workbookViewId="0"/>
  </sheetViews>
  <sheetFormatPr defaultRowHeight="14.25" x14ac:dyDescent="0.2"/>
  <cols>
    <col min="1" max="1" width="50" customWidth="1"/>
    <col min="2" max="2" width="31" customWidth="1"/>
    <col min="3" max="3" width="15" customWidth="1"/>
    <col min="4" max="4" width="9" customWidth="1"/>
    <col min="5" max="5" width="14" customWidth="1"/>
    <col min="6" max="6" width="22" customWidth="1"/>
    <col min="7" max="7" width="9" customWidth="1"/>
    <col min="8" max="8" width="41" customWidth="1"/>
  </cols>
  <sheetData>
    <row r="1" spans="1:8" ht="15" x14ac:dyDescent="0.2">
      <c r="A1" s="3" t="s">
        <v>15</v>
      </c>
      <c r="B1" s="3" t="s">
        <v>16</v>
      </c>
      <c r="C1" s="3" t="s">
        <v>17</v>
      </c>
      <c r="D1" s="3" t="s">
        <v>18</v>
      </c>
      <c r="E1" s="3" t="s">
        <v>19</v>
      </c>
      <c r="F1" s="3" t="s">
        <v>20</v>
      </c>
      <c r="G1" s="3" t="s">
        <v>21</v>
      </c>
      <c r="H1" s="3" t="s">
        <v>22</v>
      </c>
    </row>
    <row r="2" spans="1:8" ht="114" x14ac:dyDescent="0.2">
      <c r="A2" s="4" t="s">
        <v>115</v>
      </c>
      <c r="B2" s="4" t="s">
        <v>51</v>
      </c>
      <c r="C2" s="4" t="s">
        <v>116</v>
      </c>
      <c r="D2" s="4" t="s">
        <v>65</v>
      </c>
      <c r="E2" s="4" t="s">
        <v>54</v>
      </c>
      <c r="F2" s="4" t="s">
        <v>117</v>
      </c>
      <c r="G2" s="4" t="s">
        <v>29</v>
      </c>
      <c r="H2" s="4" t="s">
        <v>118</v>
      </c>
    </row>
    <row r="3" spans="1:8" ht="128.25" x14ac:dyDescent="0.2">
      <c r="A3" s="5" t="s">
        <v>119</v>
      </c>
      <c r="B3" s="5" t="s">
        <v>51</v>
      </c>
      <c r="C3" s="5" t="s">
        <v>120</v>
      </c>
      <c r="D3" s="5" t="s">
        <v>74</v>
      </c>
      <c r="E3" s="5" t="s">
        <v>54</v>
      </c>
      <c r="F3" s="5" t="s">
        <v>121</v>
      </c>
      <c r="G3" s="5" t="s">
        <v>29</v>
      </c>
      <c r="H3" s="5" t="s">
        <v>122</v>
      </c>
    </row>
    <row r="4" spans="1:8" ht="128.25" x14ac:dyDescent="0.2">
      <c r="A4" s="4" t="s">
        <v>123</v>
      </c>
      <c r="B4" s="4" t="s">
        <v>51</v>
      </c>
      <c r="C4" s="4" t="s">
        <v>64</v>
      </c>
      <c r="D4" s="4" t="s">
        <v>65</v>
      </c>
      <c r="E4" s="4" t="s">
        <v>60</v>
      </c>
      <c r="F4" s="4" t="s">
        <v>35</v>
      </c>
      <c r="G4" s="4" t="s">
        <v>29</v>
      </c>
      <c r="H4" s="4" t="s">
        <v>124</v>
      </c>
    </row>
    <row r="5" spans="1:8" ht="114" x14ac:dyDescent="0.2">
      <c r="A5" s="5" t="s">
        <v>125</v>
      </c>
      <c r="B5" s="5" t="s">
        <v>51</v>
      </c>
      <c r="C5" s="5" t="s">
        <v>126</v>
      </c>
      <c r="D5" s="5" t="s">
        <v>96</v>
      </c>
      <c r="E5" s="5" t="s">
        <v>60</v>
      </c>
      <c r="F5" s="5" t="s">
        <v>117</v>
      </c>
      <c r="G5" s="5" t="s">
        <v>29</v>
      </c>
      <c r="H5" s="5" t="s">
        <v>127</v>
      </c>
    </row>
    <row r="6" spans="1:8" ht="114" x14ac:dyDescent="0.2">
      <c r="A6" s="4" t="s">
        <v>128</v>
      </c>
      <c r="B6" s="4" t="s">
        <v>51</v>
      </c>
      <c r="C6" s="4" t="s">
        <v>52</v>
      </c>
      <c r="D6" s="4" t="s">
        <v>53</v>
      </c>
      <c r="E6" s="4" t="s">
        <v>54</v>
      </c>
      <c r="F6" s="4" t="s">
        <v>129</v>
      </c>
      <c r="G6" s="4" t="s">
        <v>29</v>
      </c>
      <c r="H6" s="4" t="s">
        <v>130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rightToLeft="1" workbookViewId="0"/>
  </sheetViews>
  <sheetFormatPr defaultRowHeight="14.25" x14ac:dyDescent="0.2"/>
  <cols>
    <col min="1" max="1" width="50" customWidth="1"/>
    <col min="2" max="2" width="35" customWidth="1"/>
    <col min="3" max="3" width="15" customWidth="1"/>
    <col min="4" max="4" width="21" customWidth="1"/>
    <col min="5" max="5" width="14" customWidth="1"/>
    <col min="6" max="6" width="19" customWidth="1"/>
    <col min="7" max="7" width="9" customWidth="1"/>
    <col min="8" max="8" width="43" customWidth="1"/>
  </cols>
  <sheetData>
    <row r="1" spans="1:8" ht="15" x14ac:dyDescent="0.2">
      <c r="A1" s="3" t="s">
        <v>15</v>
      </c>
      <c r="B1" s="3" t="s">
        <v>16</v>
      </c>
      <c r="C1" s="3" t="s">
        <v>17</v>
      </c>
      <c r="D1" s="3" t="s">
        <v>18</v>
      </c>
      <c r="E1" s="3" t="s">
        <v>19</v>
      </c>
      <c r="F1" s="3" t="s">
        <v>20</v>
      </c>
      <c r="G1" s="3" t="s">
        <v>21</v>
      </c>
      <c r="H1" s="3" t="s">
        <v>22</v>
      </c>
    </row>
    <row r="2" spans="1:8" ht="128.25" x14ac:dyDescent="0.2">
      <c r="A2" s="4" t="s">
        <v>131</v>
      </c>
      <c r="B2" s="4" t="s">
        <v>132</v>
      </c>
      <c r="C2" s="4" t="s">
        <v>133</v>
      </c>
      <c r="D2" s="4" t="s">
        <v>134</v>
      </c>
      <c r="E2" s="4" t="s">
        <v>102</v>
      </c>
      <c r="F2" s="4" t="s">
        <v>135</v>
      </c>
      <c r="G2" s="4" t="s">
        <v>29</v>
      </c>
      <c r="H2" s="4" t="s">
        <v>136</v>
      </c>
    </row>
    <row r="3" spans="1:8" ht="128.25" x14ac:dyDescent="0.2">
      <c r="A3" s="5" t="s">
        <v>137</v>
      </c>
      <c r="B3" s="5" t="s">
        <v>132</v>
      </c>
      <c r="C3" s="5" t="s">
        <v>113</v>
      </c>
      <c r="D3" s="5" t="s">
        <v>138</v>
      </c>
      <c r="E3" s="5" t="s">
        <v>60</v>
      </c>
      <c r="F3" s="5" t="s">
        <v>139</v>
      </c>
      <c r="G3" s="5" t="s">
        <v>29</v>
      </c>
      <c r="H3" s="5" t="s">
        <v>140</v>
      </c>
    </row>
    <row r="4" spans="1:8" ht="128.25" x14ac:dyDescent="0.2">
      <c r="A4" s="4" t="s">
        <v>141</v>
      </c>
      <c r="B4" s="4" t="s">
        <v>132</v>
      </c>
      <c r="C4" s="4" t="s">
        <v>142</v>
      </c>
      <c r="D4" s="4" t="s">
        <v>143</v>
      </c>
      <c r="E4" s="4" t="s">
        <v>102</v>
      </c>
      <c r="F4" s="4" t="s">
        <v>55</v>
      </c>
      <c r="G4" s="4" t="s">
        <v>29</v>
      </c>
      <c r="H4" s="4" t="s">
        <v>144</v>
      </c>
    </row>
    <row r="5" spans="1:8" ht="156.75" x14ac:dyDescent="0.2">
      <c r="A5" s="5" t="s">
        <v>145</v>
      </c>
      <c r="B5" s="5" t="s">
        <v>146</v>
      </c>
      <c r="C5" s="5" t="s">
        <v>147</v>
      </c>
      <c r="D5" s="5" t="s">
        <v>148</v>
      </c>
      <c r="E5" s="5" t="s">
        <v>54</v>
      </c>
      <c r="F5" s="5" t="s">
        <v>117</v>
      </c>
      <c r="G5" s="5" t="s">
        <v>29</v>
      </c>
      <c r="H5" s="5" t="s">
        <v>149</v>
      </c>
    </row>
    <row r="6" spans="1:8" ht="156.75" x14ac:dyDescent="0.2">
      <c r="A6" s="4" t="s">
        <v>150</v>
      </c>
      <c r="B6" s="4" t="s">
        <v>132</v>
      </c>
      <c r="C6" s="4" t="s">
        <v>151</v>
      </c>
      <c r="D6" s="4" t="s">
        <v>152</v>
      </c>
      <c r="E6" s="4" t="s">
        <v>102</v>
      </c>
      <c r="F6" s="4" t="s">
        <v>153</v>
      </c>
      <c r="G6" s="4" t="s">
        <v>29</v>
      </c>
      <c r="H6" s="4" t="s">
        <v>154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rightToLeft="1" workbookViewId="0"/>
  </sheetViews>
  <sheetFormatPr defaultRowHeight="14.25" x14ac:dyDescent="0.2"/>
  <cols>
    <col min="1" max="1" width="50" customWidth="1"/>
    <col min="2" max="2" width="41" customWidth="1"/>
    <col min="3" max="3" width="15" customWidth="1"/>
    <col min="4" max="4" width="18" customWidth="1"/>
    <col min="5" max="5" width="14" customWidth="1"/>
    <col min="6" max="6" width="19" customWidth="1"/>
    <col min="7" max="7" width="9" customWidth="1"/>
    <col min="8" max="8" width="31" customWidth="1"/>
  </cols>
  <sheetData>
    <row r="1" spans="1:8" ht="15" x14ac:dyDescent="0.2">
      <c r="A1" s="3" t="s">
        <v>15</v>
      </c>
      <c r="B1" s="3" t="s">
        <v>16</v>
      </c>
      <c r="C1" s="3" t="s">
        <v>17</v>
      </c>
      <c r="D1" s="3" t="s">
        <v>18</v>
      </c>
      <c r="E1" s="3" t="s">
        <v>19</v>
      </c>
      <c r="F1" s="3" t="s">
        <v>20</v>
      </c>
      <c r="G1" s="3" t="s">
        <v>21</v>
      </c>
      <c r="H1" s="3" t="s">
        <v>22</v>
      </c>
    </row>
    <row r="2" spans="1:8" ht="156.75" x14ac:dyDescent="0.2">
      <c r="A2" s="4" t="s">
        <v>155</v>
      </c>
      <c r="B2" s="4" t="s">
        <v>156</v>
      </c>
      <c r="C2" s="4" t="s">
        <v>157</v>
      </c>
      <c r="D2" s="4" t="s">
        <v>158</v>
      </c>
      <c r="E2" s="4" t="s">
        <v>60</v>
      </c>
      <c r="F2" s="4" t="s">
        <v>85</v>
      </c>
      <c r="G2" s="4" t="s">
        <v>29</v>
      </c>
      <c r="H2" s="4" t="s">
        <v>159</v>
      </c>
    </row>
    <row r="3" spans="1:8" ht="156.75" x14ac:dyDescent="0.2">
      <c r="A3" s="5" t="s">
        <v>160</v>
      </c>
      <c r="B3" s="5" t="s">
        <v>156</v>
      </c>
      <c r="C3" s="5" t="s">
        <v>161</v>
      </c>
      <c r="D3" s="5" t="s">
        <v>158</v>
      </c>
      <c r="E3" s="5" t="s">
        <v>60</v>
      </c>
      <c r="F3" s="5" t="s">
        <v>139</v>
      </c>
      <c r="G3" s="5" t="s">
        <v>29</v>
      </c>
      <c r="H3" s="5" t="s">
        <v>162</v>
      </c>
    </row>
    <row r="4" spans="1:8" ht="156.75" x14ac:dyDescent="0.2">
      <c r="A4" s="4" t="s">
        <v>163</v>
      </c>
      <c r="B4" s="4" t="s">
        <v>156</v>
      </c>
      <c r="C4" s="4" t="s">
        <v>164</v>
      </c>
      <c r="D4" s="4" t="s">
        <v>165</v>
      </c>
      <c r="E4" s="4" t="s">
        <v>60</v>
      </c>
      <c r="F4" s="4" t="s">
        <v>166</v>
      </c>
      <c r="G4" s="4" t="s">
        <v>29</v>
      </c>
      <c r="H4" s="4" t="s">
        <v>167</v>
      </c>
    </row>
    <row r="5" spans="1:8" ht="171" x14ac:dyDescent="0.2">
      <c r="A5" s="5" t="s">
        <v>168</v>
      </c>
      <c r="B5" s="5" t="s">
        <v>156</v>
      </c>
      <c r="C5" s="5" t="s">
        <v>169</v>
      </c>
      <c r="D5" s="5" t="s">
        <v>170</v>
      </c>
      <c r="E5" s="5" t="s">
        <v>171</v>
      </c>
      <c r="F5" s="5" t="s">
        <v>172</v>
      </c>
      <c r="G5" s="5" t="s">
        <v>29</v>
      </c>
      <c r="H5" s="5" t="s">
        <v>173</v>
      </c>
    </row>
    <row r="6" spans="1:8" ht="156.75" x14ac:dyDescent="0.2">
      <c r="A6" s="4" t="s">
        <v>174</v>
      </c>
      <c r="B6" s="4" t="s">
        <v>156</v>
      </c>
      <c r="C6" s="4" t="s">
        <v>175</v>
      </c>
      <c r="D6" s="4" t="s">
        <v>165</v>
      </c>
      <c r="E6" s="4" t="s">
        <v>60</v>
      </c>
      <c r="F6" s="4" t="s">
        <v>176</v>
      </c>
      <c r="G6" s="4" t="s">
        <v>29</v>
      </c>
      <c r="H6" s="4" t="s">
        <v>177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
  <sheetViews>
    <sheetView rightToLeft="1" workbookViewId="0"/>
  </sheetViews>
  <sheetFormatPr defaultRowHeight="14.25" x14ac:dyDescent="0.2"/>
  <cols>
    <col min="1" max="1" width="50" customWidth="1"/>
    <col min="2" max="2" width="40" customWidth="1"/>
    <col min="3" max="3" width="15" customWidth="1"/>
    <col min="4" max="4" width="11" customWidth="1"/>
    <col min="5" max="5" width="14" customWidth="1"/>
    <col min="6" max="6" width="26" customWidth="1"/>
    <col min="7" max="7" width="9" customWidth="1"/>
    <col min="8" max="8" width="29" customWidth="1"/>
  </cols>
  <sheetData>
    <row r="1" spans="1:8" ht="15" x14ac:dyDescent="0.2">
      <c r="A1" s="3" t="s">
        <v>15</v>
      </c>
      <c r="B1" s="3" t="s">
        <v>16</v>
      </c>
      <c r="C1" s="3" t="s">
        <v>17</v>
      </c>
      <c r="D1" s="3" t="s">
        <v>18</v>
      </c>
      <c r="E1" s="3" t="s">
        <v>19</v>
      </c>
      <c r="F1" s="3" t="s">
        <v>20</v>
      </c>
      <c r="G1" s="3" t="s">
        <v>21</v>
      </c>
      <c r="H1" s="3" t="s">
        <v>22</v>
      </c>
    </row>
    <row r="2" spans="1:8" ht="142.5" x14ac:dyDescent="0.2">
      <c r="A2" s="4" t="s">
        <v>178</v>
      </c>
      <c r="B2" s="4" t="s">
        <v>179</v>
      </c>
      <c r="C2" s="4" t="s">
        <v>180</v>
      </c>
      <c r="D2" s="4" t="s">
        <v>181</v>
      </c>
      <c r="E2" s="4" t="s">
        <v>182</v>
      </c>
      <c r="F2" s="4" t="s">
        <v>183</v>
      </c>
      <c r="G2" s="4" t="s">
        <v>29</v>
      </c>
      <c r="H2" s="4" t="s">
        <v>184</v>
      </c>
    </row>
    <row r="3" spans="1:8" ht="156.75" x14ac:dyDescent="0.2">
      <c r="A3" s="5" t="s">
        <v>185</v>
      </c>
      <c r="B3" s="5" t="s">
        <v>179</v>
      </c>
      <c r="C3" s="5" t="s">
        <v>95</v>
      </c>
      <c r="D3" s="5" t="s">
        <v>186</v>
      </c>
      <c r="E3" s="5" t="s">
        <v>187</v>
      </c>
      <c r="F3" s="5" t="s">
        <v>78</v>
      </c>
      <c r="G3" s="5" t="s">
        <v>29</v>
      </c>
      <c r="H3" s="5" t="s">
        <v>188</v>
      </c>
    </row>
    <row r="4" spans="1:8" ht="171" x14ac:dyDescent="0.2">
      <c r="A4" s="4" t="s">
        <v>189</v>
      </c>
      <c r="B4" s="4" t="s">
        <v>190</v>
      </c>
      <c r="C4" s="4" t="s">
        <v>147</v>
      </c>
      <c r="D4" s="4" t="s">
        <v>191</v>
      </c>
      <c r="E4" s="4" t="s">
        <v>192</v>
      </c>
      <c r="F4" s="4" t="s">
        <v>135</v>
      </c>
      <c r="G4" s="4" t="s">
        <v>29</v>
      </c>
      <c r="H4" s="4" t="s">
        <v>193</v>
      </c>
    </row>
    <row r="5" spans="1:8" ht="171" x14ac:dyDescent="0.2">
      <c r="A5" s="5" t="s">
        <v>194</v>
      </c>
      <c r="B5" s="5" t="s">
        <v>179</v>
      </c>
      <c r="C5" s="5" t="s">
        <v>157</v>
      </c>
      <c r="D5" s="5" t="s">
        <v>195</v>
      </c>
      <c r="E5" s="5" t="s">
        <v>196</v>
      </c>
      <c r="F5" s="5" t="s">
        <v>197</v>
      </c>
      <c r="G5" s="5" t="s">
        <v>29</v>
      </c>
      <c r="H5" s="5" t="s">
        <v>198</v>
      </c>
    </row>
    <row r="6" spans="1:8" ht="185.25" x14ac:dyDescent="0.2">
      <c r="A6" s="4" t="s">
        <v>199</v>
      </c>
      <c r="B6" s="4" t="s">
        <v>200</v>
      </c>
      <c r="C6" s="4" t="s">
        <v>201</v>
      </c>
      <c r="D6" s="4" t="s">
        <v>202</v>
      </c>
      <c r="E6" s="4" t="s">
        <v>182</v>
      </c>
      <c r="F6" s="4" t="s">
        <v>203</v>
      </c>
      <c r="G6" s="4" t="s">
        <v>29</v>
      </c>
      <c r="H6" s="4" t="s">
        <v>204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
  <sheetViews>
    <sheetView rightToLeft="1" workbookViewId="0"/>
  </sheetViews>
  <sheetFormatPr defaultRowHeight="14.25" x14ac:dyDescent="0.2"/>
  <cols>
    <col min="1" max="1" width="50" customWidth="1"/>
    <col min="2" max="2" width="28" customWidth="1"/>
    <col min="3" max="3" width="15" customWidth="1"/>
    <col min="4" max="4" width="21" customWidth="1"/>
    <col min="5" max="5" width="14" customWidth="1"/>
    <col min="6" max="6" width="15" customWidth="1"/>
    <col min="7" max="7" width="9" customWidth="1"/>
    <col min="8" max="8" width="39" customWidth="1"/>
  </cols>
  <sheetData>
    <row r="1" spans="1:8" ht="15" x14ac:dyDescent="0.2">
      <c r="A1" s="3" t="s">
        <v>15</v>
      </c>
      <c r="B1" s="3" t="s">
        <v>16</v>
      </c>
      <c r="C1" s="3" t="s">
        <v>17</v>
      </c>
      <c r="D1" s="3" t="s">
        <v>18</v>
      </c>
      <c r="E1" s="3" t="s">
        <v>19</v>
      </c>
      <c r="F1" s="3" t="s">
        <v>20</v>
      </c>
      <c r="G1" s="3" t="s">
        <v>21</v>
      </c>
      <c r="H1" s="3" t="s">
        <v>22</v>
      </c>
    </row>
    <row r="2" spans="1:8" ht="185.25" x14ac:dyDescent="0.2">
      <c r="A2" s="4" t="s">
        <v>205</v>
      </c>
      <c r="B2" s="4" t="s">
        <v>206</v>
      </c>
      <c r="C2" s="4" t="s">
        <v>157</v>
      </c>
      <c r="D2" s="4" t="s">
        <v>207</v>
      </c>
      <c r="E2" s="4" t="s">
        <v>54</v>
      </c>
      <c r="F2" s="4" t="s">
        <v>208</v>
      </c>
      <c r="G2" s="4" t="s">
        <v>29</v>
      </c>
      <c r="H2" s="4" t="s">
        <v>209</v>
      </c>
    </row>
    <row r="3" spans="1:8" ht="171" x14ac:dyDescent="0.2">
      <c r="A3" s="5" t="s">
        <v>210</v>
      </c>
      <c r="B3" s="5" t="s">
        <v>206</v>
      </c>
      <c r="C3" s="5" t="s">
        <v>211</v>
      </c>
      <c r="D3" s="5" t="s">
        <v>212</v>
      </c>
      <c r="E3" s="5" t="s">
        <v>102</v>
      </c>
      <c r="F3" s="5" t="s">
        <v>213</v>
      </c>
      <c r="G3" s="5" t="s">
        <v>29</v>
      </c>
      <c r="H3" s="5" t="s">
        <v>214</v>
      </c>
    </row>
    <row r="4" spans="1:8" ht="185.25" x14ac:dyDescent="0.2">
      <c r="A4" s="4" t="s">
        <v>215</v>
      </c>
      <c r="B4" s="4" t="s">
        <v>24</v>
      </c>
      <c r="C4" s="4" t="s">
        <v>216</v>
      </c>
      <c r="D4" s="4" t="s">
        <v>217</v>
      </c>
      <c r="E4" s="4" t="s">
        <v>54</v>
      </c>
      <c r="F4" s="4" t="s">
        <v>117</v>
      </c>
      <c r="G4" s="4" t="s">
        <v>29</v>
      </c>
      <c r="H4" s="4" t="s">
        <v>218</v>
      </c>
    </row>
    <row r="5" spans="1:8" ht="199.5" x14ac:dyDescent="0.2">
      <c r="A5" s="5" t="s">
        <v>219</v>
      </c>
      <c r="B5" s="5" t="s">
        <v>206</v>
      </c>
      <c r="C5" s="5" t="s">
        <v>220</v>
      </c>
      <c r="D5" s="5" t="s">
        <v>221</v>
      </c>
      <c r="E5" s="5" t="s">
        <v>102</v>
      </c>
      <c r="F5" s="5" t="s">
        <v>35</v>
      </c>
      <c r="G5" s="5" t="s">
        <v>29</v>
      </c>
      <c r="H5" s="5" t="s">
        <v>222</v>
      </c>
    </row>
    <row r="6" spans="1:8" ht="199.5" x14ac:dyDescent="0.2">
      <c r="A6" s="4" t="s">
        <v>223</v>
      </c>
      <c r="B6" s="4" t="s">
        <v>206</v>
      </c>
      <c r="C6" s="4" t="s">
        <v>100</v>
      </c>
      <c r="D6" s="4" t="s">
        <v>224</v>
      </c>
      <c r="E6" s="4" t="s">
        <v>54</v>
      </c>
      <c r="F6" s="4" t="s">
        <v>208</v>
      </c>
      <c r="G6" s="4" t="s">
        <v>29</v>
      </c>
      <c r="H6" s="4" t="s">
        <v>225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5"/>
  <sheetViews>
    <sheetView rightToLeft="1" workbookViewId="0"/>
  </sheetViews>
  <sheetFormatPr defaultRowHeight="14.25" x14ac:dyDescent="0.2"/>
  <cols>
    <col min="1" max="1" width="50" customWidth="1"/>
    <col min="2" max="2" width="40" customWidth="1"/>
    <col min="3" max="3" width="32" customWidth="1"/>
  </cols>
  <sheetData>
    <row r="1" spans="1:3" ht="15" x14ac:dyDescent="0.2">
      <c r="A1" s="3" t="s">
        <v>226</v>
      </c>
      <c r="B1" s="3" t="s">
        <v>227</v>
      </c>
      <c r="C1" s="3" t="s">
        <v>228</v>
      </c>
    </row>
    <row r="2" spans="1:3" ht="85.5" x14ac:dyDescent="0.2">
      <c r="A2" s="4" t="s">
        <v>229</v>
      </c>
      <c r="B2" s="4" t="s">
        <v>230</v>
      </c>
      <c r="C2" s="4" t="s">
        <v>231</v>
      </c>
    </row>
    <row r="3" spans="1:3" ht="85.5" x14ac:dyDescent="0.2">
      <c r="A3" s="5" t="s">
        <v>232</v>
      </c>
      <c r="B3" s="5" t="s">
        <v>233</v>
      </c>
      <c r="C3" s="5" t="s">
        <v>234</v>
      </c>
    </row>
    <row r="4" spans="1:3" ht="85.5" x14ac:dyDescent="0.2">
      <c r="A4" s="4" t="s">
        <v>235</v>
      </c>
      <c r="B4" s="4" t="s">
        <v>233</v>
      </c>
      <c r="C4" s="4" t="s">
        <v>236</v>
      </c>
    </row>
    <row r="5" spans="1:3" ht="85.5" x14ac:dyDescent="0.2">
      <c r="A5" s="5" t="s">
        <v>237</v>
      </c>
      <c r="B5" s="5" t="s">
        <v>238</v>
      </c>
      <c r="C5" s="5" t="s">
        <v>239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6"/>
  <sheetViews>
    <sheetView rightToLeft="1" tabSelected="1" workbookViewId="0"/>
  </sheetViews>
  <sheetFormatPr defaultRowHeight="14.25" x14ac:dyDescent="0.2"/>
  <cols>
    <col min="1" max="1" width="50" customWidth="1"/>
    <col min="2" max="2" width="25" customWidth="1"/>
    <col min="3" max="3" width="32" customWidth="1"/>
  </cols>
  <sheetData>
    <row r="1" spans="1:3" ht="15" x14ac:dyDescent="0.2">
      <c r="A1" s="3" t="s">
        <v>226</v>
      </c>
      <c r="B1" s="3" t="s">
        <v>240</v>
      </c>
      <c r="C1" s="3" t="s">
        <v>241</v>
      </c>
    </row>
    <row r="2" spans="1:3" ht="99.75" x14ac:dyDescent="0.2">
      <c r="A2" s="4" t="s">
        <v>242</v>
      </c>
      <c r="B2" s="4" t="s">
        <v>243</v>
      </c>
      <c r="C2" s="4" t="s">
        <v>244</v>
      </c>
    </row>
    <row r="3" spans="1:3" ht="99.75" x14ac:dyDescent="0.2">
      <c r="A3" s="5" t="s">
        <v>245</v>
      </c>
      <c r="B3" s="5" t="s">
        <v>246</v>
      </c>
      <c r="C3" s="5" t="s">
        <v>247</v>
      </c>
    </row>
    <row r="4" spans="1:3" ht="99.75" x14ac:dyDescent="0.2">
      <c r="A4" s="4" t="s">
        <v>248</v>
      </c>
      <c r="B4" s="4" t="s">
        <v>249</v>
      </c>
      <c r="C4" s="4" t="s">
        <v>250</v>
      </c>
    </row>
    <row r="5" spans="1:3" ht="114" x14ac:dyDescent="0.2">
      <c r="A5" s="5" t="s">
        <v>251</v>
      </c>
      <c r="B5" s="5" t="s">
        <v>252</v>
      </c>
      <c r="C5" s="5" t="s">
        <v>253</v>
      </c>
    </row>
    <row r="6" spans="1:3" ht="99.75" x14ac:dyDescent="0.2">
      <c r="A6" s="4" t="s">
        <v>254</v>
      </c>
      <c r="B6" s="4" t="s">
        <v>255</v>
      </c>
      <c r="C6" s="4" t="s">
        <v>256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
  <sheetViews>
    <sheetView workbookViewId="0"/>
  </sheetViews>
  <sheetFormatPr defaultRowHeight="14.25" x14ac:dyDescent="0.2"/>
  <cols>
    <col min="1" max="1" width="50" customWidth="1"/>
    <col min="2" max="2" width="25" customWidth="1"/>
    <col min="3" max="3" width="19" customWidth="1"/>
  </cols>
  <sheetData>
    <row r="1" spans="1:3" ht="15" x14ac:dyDescent="0.2">
      <c r="A1" s="3" t="s">
        <v>226</v>
      </c>
      <c r="B1" s="3" t="s">
        <v>257</v>
      </c>
      <c r="C1" s="3" t="s">
        <v>258</v>
      </c>
    </row>
    <row r="2" spans="1:3" ht="114" x14ac:dyDescent="0.2">
      <c r="A2" s="4" t="s">
        <v>259</v>
      </c>
      <c r="B2" s="4" t="s">
        <v>260</v>
      </c>
      <c r="C2" s="4" t="s">
        <v>261</v>
      </c>
    </row>
    <row r="3" spans="1:3" ht="114" x14ac:dyDescent="0.2">
      <c r="A3" s="5" t="s">
        <v>262</v>
      </c>
      <c r="B3" s="5" t="s">
        <v>263</v>
      </c>
      <c r="C3" s="5" t="s">
        <v>264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
  <sheetViews>
    <sheetView workbookViewId="0"/>
  </sheetViews>
  <sheetFormatPr defaultRowHeight="14.25" x14ac:dyDescent="0.2"/>
  <cols>
    <col min="1" max="1" width="50" customWidth="1"/>
    <col min="2" max="2" width="25" customWidth="1"/>
    <col min="3" max="3" width="24" customWidth="1"/>
  </cols>
  <sheetData>
    <row r="1" spans="1:3" ht="15" x14ac:dyDescent="0.2">
      <c r="A1" s="3" t="s">
        <v>226</v>
      </c>
      <c r="B1" s="3" t="s">
        <v>265</v>
      </c>
      <c r="C1" s="3" t="s">
        <v>258</v>
      </c>
    </row>
    <row r="2" spans="1:3" ht="142.5" x14ac:dyDescent="0.2">
      <c r="A2" s="4" t="s">
        <v>266</v>
      </c>
      <c r="B2" s="4" t="s">
        <v>267</v>
      </c>
      <c r="C2" s="4" t="s">
        <v>268</v>
      </c>
    </row>
    <row r="3" spans="1:3" ht="128.25" x14ac:dyDescent="0.2">
      <c r="A3" s="5" t="s">
        <v>269</v>
      </c>
      <c r="B3" s="5" t="s">
        <v>270</v>
      </c>
      <c r="C3" s="5" t="s">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14</vt:i4>
      </vt:variant>
    </vt:vector>
  </HeadingPairs>
  <TitlesOfParts>
    <vt:vector size="14" baseType="lpstr">
      <vt:lpstr>📚 תוכן עניינים</vt:lpstr>
      <vt:lpstr>🎤 הרצאות</vt:lpstr>
      <vt:lpstr>🤖 סדנאות AI</vt:lpstr>
      <vt:lpstr>🧒 סדנאות ילדים</vt:lpstr>
      <vt:lpstr>💻 סדנאות PRO</vt:lpstr>
      <vt:lpstr>📚 סדנאות EDU</vt:lpstr>
      <vt:lpstr>🎓 קורסים וסמינרים</vt:lpstr>
      <vt:lpstr>🌞 קייטנות טכנולוגיות</vt:lpstr>
      <vt:lpstr>🎉 הפעלות והפנינג</vt:lpstr>
      <vt:lpstr>📖 פיתוח מקצועי למורים</vt:lpstr>
      <vt:lpstr>💸 גורמי הוזלה</vt:lpstr>
      <vt:lpstr>🔺 גורמי ייקור</vt:lpstr>
      <vt:lpstr>🚗 מדיניות נסיעות</vt:lpstr>
      <vt:lpstr>👥 כמות משתתפים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אלעד יעקובוביץ'</cp:lastModifiedBy>
  <dcterms:created xsi:type="dcterms:W3CDTF">2025-03-17T09:26:47Z</dcterms:created>
  <dcterms:modified xsi:type="dcterms:W3CDTF">2025-03-17T10:15:49Z</dcterms:modified>
</cp:coreProperties>
</file>